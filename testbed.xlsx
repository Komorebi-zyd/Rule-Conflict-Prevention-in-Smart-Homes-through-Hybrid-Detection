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chool\CST\3-论文\Rule Conflict Prevention in Smart Homes through Hybrid Detection\整体设计\"/>
    </mc:Choice>
  </mc:AlternateContent>
  <xr:revisionPtr revIDLastSave="0" documentId="13_ncr:1_{2AC4FB03-B3DB-4121-861D-857ED3BCF323}" xr6:coauthVersionLast="47" xr6:coauthVersionMax="47" xr10:uidLastSave="{00000000-0000-0000-0000-000000000000}"/>
  <bookViews>
    <workbookView xWindow="24930" yWindow="4020" windowWidth="12990" windowHeight="15885" activeTab="5" xr2:uid="{00000000-000D-0000-FFFF-FFFF00000000}"/>
  </bookViews>
  <sheets>
    <sheet name="规则" sheetId="1" r:id="rId1"/>
    <sheet name="分开" sheetId="2" r:id="rId2"/>
    <sheet name="综合" sheetId="3" r:id="rId3"/>
    <sheet name="转置" sheetId="4" r:id="rId4"/>
    <sheet name="修正" sheetId="6" r:id="rId5"/>
    <sheet name="静态检测性能" sheetId="5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5" l="1"/>
  <c r="S9" i="5"/>
  <c r="S8" i="5"/>
  <c r="U23" i="5"/>
  <c r="T23" i="5"/>
  <c r="V23" i="5" s="1"/>
  <c r="S12" i="5"/>
  <c r="S10" i="5"/>
  <c r="M5" i="5"/>
  <c r="N5" i="5" s="1"/>
  <c r="N4" i="5"/>
  <c r="M4" i="5"/>
  <c r="M3" i="5"/>
  <c r="N3" i="5" s="1"/>
  <c r="N2" i="5"/>
  <c r="M2" i="5"/>
</calcChain>
</file>

<file path=xl/sharedStrings.xml><?xml version="1.0" encoding="utf-8"?>
<sst xmlns="http://schemas.openxmlformats.org/spreadsheetml/2006/main" count="426" uniqueCount="166">
  <si>
    <t>规则索引</t>
  </si>
  <si>
    <t>内容</t>
  </si>
  <si>
    <t>环境</t>
  </si>
  <si>
    <t>设备</t>
  </si>
  <si>
    <t>R1</t>
  </si>
  <si>
    <t>当门锁被打开，如果亮度传感器低于50lux，打开外门灯和门廊灯</t>
  </si>
  <si>
    <t>门外</t>
  </si>
  <si>
    <t>智能门锁，门外灯，门廊灯，门外亮度传感器</t>
  </si>
  <si>
    <t>R2</t>
  </si>
  <si>
    <t>当门锁被关闭，关闭门廊灯</t>
  </si>
  <si>
    <t>R3</t>
  </si>
  <si>
    <t>当门廊的运动传感器被触发，如果亮度传感器低于50lux，打开门廊灯</t>
  </si>
  <si>
    <t>门廊</t>
  </si>
  <si>
    <t>门廊运动传感器，门廊灯,门廊亮度传感器</t>
  </si>
  <si>
    <t>R4</t>
  </si>
  <si>
    <t>当客厅的运动传感器被触发，如果亮度传感器低于50lux，打开客厅灯</t>
  </si>
  <si>
    <t>客厅</t>
  </si>
  <si>
    <t>客厅运动传感器，客厅灯</t>
  </si>
  <si>
    <t>R5</t>
  </si>
  <si>
    <t>当客厅湿度低于40%，当加湿器关闭，打开客厅加湿器</t>
  </si>
  <si>
    <t>客厅湿度传感器，客厅加湿器</t>
  </si>
  <si>
    <t>R6</t>
  </si>
  <si>
    <t>当客厅湿度高于60%，当加湿器开启，关闭客厅加湿器</t>
  </si>
  <si>
    <t>R7</t>
  </si>
  <si>
    <t>当客厅温度低于24℃，当客厅地暖关闭，开启客厅地暖</t>
  </si>
  <si>
    <t>客厅温度传感器，客厅地暖</t>
  </si>
  <si>
    <t>R8</t>
  </si>
  <si>
    <t>当客厅温度高于30℃，当客厅空调关闭，开启客厅空调并设置为27℃</t>
  </si>
  <si>
    <t>客厅温度传感器，客厅空调</t>
  </si>
  <si>
    <t>R9</t>
  </si>
  <si>
    <t>当厨房运动传感器被触发，如果亮度传感器低于50lux，打开厨房灯</t>
  </si>
  <si>
    <t>厨房</t>
  </si>
  <si>
    <t>厨房运动传感器，厨房灯</t>
  </si>
  <si>
    <t>R10</t>
  </si>
  <si>
    <t>当漏水传感器被触发、关闭中央水阀</t>
  </si>
  <si>
    <t>漏水传感器，中央水阀</t>
  </si>
  <si>
    <t>R11</t>
  </si>
  <si>
    <t>当烟雾报警器打开，打开消防喷淋头</t>
  </si>
  <si>
    <t>烟雾报警器、消防喷淋头</t>
  </si>
  <si>
    <t>R12</t>
  </si>
  <si>
    <t>当卧室运动传感器被触发，如果亮度传感器低于50lux，打开卧室灯</t>
  </si>
  <si>
    <t>卧室</t>
  </si>
  <si>
    <t>R13</t>
  </si>
  <si>
    <t>当晚上七点，打开卧室暖气</t>
  </si>
  <si>
    <t>R14</t>
  </si>
  <si>
    <t>当卧室温度达到30℃，打开窗户且关闭暖气</t>
  </si>
  <si>
    <t>卧室温度传感器、卧室窗户、卧室暖气</t>
  </si>
  <si>
    <t>R15</t>
  </si>
  <si>
    <t>当温室运动传感器被触发，如果亮度传感器低于50lux，打开温室灯</t>
  </si>
  <si>
    <t>温室</t>
  </si>
  <si>
    <t>R16</t>
  </si>
  <si>
    <t>当晚上七点，打开温室暖气</t>
  </si>
  <si>
    <t>温室暖气</t>
  </si>
  <si>
    <t>R17</t>
  </si>
  <si>
    <t>当温室温度达到32℃，打开窗户且关闭暖气</t>
  </si>
  <si>
    <t>温室温度传感器、温室窗户、温室暖气</t>
  </si>
  <si>
    <t>R18</t>
  </si>
  <si>
    <t>门外OD</t>
  </si>
  <si>
    <t>门廊P</t>
  </si>
  <si>
    <t>P-sensor、P-light、P-brightnessSensor</t>
  </si>
  <si>
    <t>客厅L</t>
  </si>
  <si>
    <t>厨房K</t>
  </si>
  <si>
    <t>K-sensor、K-brightnessSensor、K-light、K-leakSensor、K-valve、K-smokeSensor、K-sprinkler</t>
  </si>
  <si>
    <t>浴室BA</t>
  </si>
  <si>
    <t>卧室BE</t>
  </si>
  <si>
    <t>BE-sensor、BE-brightnessSensor、BE-light、BE-temperatureSensor、BE-heater、BE-window</t>
  </si>
  <si>
    <t>温室G</t>
  </si>
  <si>
    <t>G-sensor、G-brightnessSensor、G-light、G-temperatureSensor、G-heater、G-window</t>
  </si>
  <si>
    <t>全局A</t>
  </si>
  <si>
    <t>系统时间</t>
  </si>
  <si>
    <t>A-time</t>
  </si>
  <si>
    <t>冲突索引</t>
  </si>
  <si>
    <t>冲突描述</t>
  </si>
  <si>
    <t>冲突类型</t>
  </si>
  <si>
    <t>我的解决方案</t>
  </si>
  <si>
    <t>R13-R14</t>
  </si>
  <si>
    <r>
      <rPr>
        <sz val="11"/>
        <color theme="1"/>
        <rFont val="微软雅黑"/>
        <charset val="134"/>
      </rPr>
      <t>冲突描述</t>
    </r>
    <r>
      <rPr>
        <sz val="12"/>
        <color rgb="FF31333F"/>
        <rFont val="Arial"/>
        <family val="2"/>
      </rPr>
      <t>: R13-</t>
    </r>
    <r>
      <rPr>
        <sz val="12"/>
        <color rgb="FF31333F"/>
        <rFont val="宋体"/>
        <charset val="134"/>
      </rPr>
      <t>卧室暖气对</t>
    </r>
    <r>
      <rPr>
        <sz val="12"/>
        <color rgb="FF31333F"/>
        <rFont val="Arial"/>
        <family val="2"/>
      </rPr>
      <t>input_boolean.wo_shi_nuan_qi</t>
    </r>
    <r>
      <rPr>
        <sz val="12"/>
        <color rgb="FF31333F"/>
        <rFont val="宋体"/>
        <charset val="134"/>
      </rPr>
      <t>的操作为</t>
    </r>
    <r>
      <rPr>
        <sz val="12"/>
        <color rgb="FF31333F"/>
        <rFont val="Arial"/>
        <family val="2"/>
      </rPr>
      <t>turn_on, R14-</t>
    </r>
    <r>
      <rPr>
        <sz val="12"/>
        <color rgb="FF31333F"/>
        <rFont val="宋体"/>
        <charset val="134"/>
      </rPr>
      <t>卧室开窗对</t>
    </r>
    <r>
      <rPr>
        <sz val="12"/>
        <color rgb="FF31333F"/>
        <rFont val="Arial"/>
        <family val="2"/>
      </rPr>
      <t>input_boolean.wo_shi_nuan_qi</t>
    </r>
    <r>
      <rPr>
        <sz val="12"/>
        <color rgb="FF31333F"/>
        <rFont val="宋体"/>
        <charset val="134"/>
      </rPr>
      <t>的操作为</t>
    </r>
    <r>
      <rPr>
        <sz val="12"/>
        <color rgb="FF31333F"/>
        <rFont val="Arial"/>
        <family val="2"/>
      </rPr>
      <t xml:space="preserve">turn_off, </t>
    </r>
    <r>
      <rPr>
        <sz val="12"/>
        <color rgb="FF31333F"/>
        <rFont val="宋体"/>
        <charset val="134"/>
      </rPr>
      <t>执行动作产生冲突</t>
    </r>
  </si>
  <si>
    <t>Rule Action Conflict</t>
  </si>
  <si>
    <t>只执行R13</t>
  </si>
  <si>
    <t>R11-R10</t>
  </si>
  <si>
    <t>冲突描述: R11-消防的执行结果影响环境属性['厨房湿度-up'], R10-关水的触发器受到环境属性['厨房湿度-up']的影响, R11-消防触发R10-关水</t>
  </si>
  <si>
    <t>Indirect rule trigger conflict</t>
  </si>
  <si>
    <t>取消执行R10</t>
  </si>
  <si>
    <t>冲突描述: R13-卧室暖气的执行结果影响环境属性['卧室温度-up'], R14-卧室开窗的触发器受到环境属性['卧室温度-up']的影响, R13-卧室暖气触发R14-卧室开窗</t>
  </si>
  <si>
    <t>取消执行R14</t>
  </si>
  <si>
    <t>R10-R11</t>
  </si>
  <si>
    <r>
      <rPr>
        <sz val="11"/>
        <color theme="1"/>
        <rFont val="微软雅黑"/>
        <charset val="134"/>
      </rPr>
      <t>冲突描述</t>
    </r>
    <r>
      <rPr>
        <sz val="12"/>
        <color rgb="FF31333F"/>
        <rFont val="Arial"/>
        <family val="2"/>
      </rPr>
      <t>:</t>
    </r>
    <r>
      <rPr>
        <sz val="12"/>
        <color rgb="FF31333F"/>
        <rFont val="Arial"/>
        <family val="2"/>
      </rPr>
      <t> </t>
    </r>
    <r>
      <rPr>
        <sz val="12"/>
        <color rgb="FF31333F"/>
        <rFont val="Arial"/>
        <family val="2"/>
      </rPr>
      <t>R10-关水</t>
    </r>
    <r>
      <rPr>
        <sz val="12"/>
        <color rgb="FF31333F"/>
        <rFont val="Arial"/>
        <family val="2"/>
      </rPr>
      <t>的执行结果影响环境属性['厨房湿度-down'],</t>
    </r>
    <r>
      <rPr>
        <sz val="12"/>
        <color rgb="FF31333F"/>
        <rFont val="Arial"/>
        <family val="2"/>
      </rPr>
      <t> </t>
    </r>
    <r>
      <rPr>
        <sz val="12"/>
        <color rgb="FF31333F"/>
        <rFont val="Arial"/>
        <family val="2"/>
      </rPr>
      <t>R11-消防</t>
    </r>
    <r>
      <rPr>
        <sz val="12"/>
        <color rgb="FF31333F"/>
        <rFont val="Arial"/>
        <family val="2"/>
      </rPr>
      <t>的执行结果影响环境属性['厨房湿度-up'],</t>
    </r>
    <r>
      <rPr>
        <sz val="12"/>
        <color rgb="FF31333F"/>
        <rFont val="Arial"/>
        <family val="2"/>
      </rPr>
      <t> </t>
    </r>
    <r>
      <rPr>
        <sz val="12"/>
        <color rgb="FF31333F"/>
        <rFont val="Arial"/>
        <family val="2"/>
      </rPr>
      <t>R10-关水</t>
    </r>
    <r>
      <rPr>
        <sz val="12"/>
        <color rgb="FF31333F"/>
        <rFont val="Arial"/>
        <family val="2"/>
      </rPr>
      <t>与</t>
    </r>
    <r>
      <rPr>
        <sz val="12"/>
        <color rgb="FF31333F"/>
        <rFont val="Arial"/>
        <family val="2"/>
      </rPr>
      <t>R11-消防</t>
    </r>
    <r>
      <rPr>
        <sz val="12"/>
        <color rgb="FF31333F"/>
        <rFont val="Arial"/>
        <family val="2"/>
      </rPr>
      <t>的执行结果相互影响</t>
    </r>
  </si>
  <si>
    <t>Indirect rule action conflict</t>
  </si>
  <si>
    <t>只执行R11</t>
  </si>
  <si>
    <r>
      <rPr>
        <sz val="11"/>
        <color theme="1"/>
        <rFont val="微软雅黑"/>
        <charset val="134"/>
      </rPr>
      <t>冲突描述</t>
    </r>
    <r>
      <rPr>
        <sz val="12"/>
        <color rgb="FF31333F"/>
        <rFont val="Arial"/>
        <family val="2"/>
      </rPr>
      <t>:</t>
    </r>
    <r>
      <rPr>
        <sz val="12"/>
        <color rgb="FF31333F"/>
        <rFont val="Arial"/>
        <family val="2"/>
      </rPr>
      <t> </t>
    </r>
    <r>
      <rPr>
        <sz val="12"/>
        <color rgb="FF31333F"/>
        <rFont val="Arial"/>
        <family val="2"/>
      </rPr>
      <t>R11-消防</t>
    </r>
    <r>
      <rPr>
        <sz val="12"/>
        <color rgb="FF31333F"/>
        <rFont val="Arial"/>
        <family val="2"/>
      </rPr>
      <t>的执行结果影响环境属性['厨房湿度-up'],</t>
    </r>
    <r>
      <rPr>
        <sz val="12"/>
        <color rgb="FF31333F"/>
        <rFont val="Arial"/>
        <family val="2"/>
      </rPr>
      <t> </t>
    </r>
    <r>
      <rPr>
        <sz val="12"/>
        <color rgb="FF31333F"/>
        <rFont val="Arial"/>
        <family val="2"/>
      </rPr>
      <t>R10-关水</t>
    </r>
    <r>
      <rPr>
        <sz val="12"/>
        <color rgb="FF31333F"/>
        <rFont val="Arial"/>
        <family val="2"/>
      </rPr>
      <t>的执行结果影响环境属性['厨房湿度-down'],</t>
    </r>
    <r>
      <rPr>
        <sz val="12"/>
        <color rgb="FF31333F"/>
        <rFont val="Arial"/>
        <family val="2"/>
      </rPr>
      <t> </t>
    </r>
    <r>
      <rPr>
        <sz val="12"/>
        <color rgb="FF31333F"/>
        <rFont val="Arial"/>
        <family val="2"/>
      </rPr>
      <t>R11-消防</t>
    </r>
    <r>
      <rPr>
        <sz val="12"/>
        <color rgb="FF31333F"/>
        <rFont val="Arial"/>
        <family val="2"/>
      </rPr>
      <t>与</t>
    </r>
    <r>
      <rPr>
        <sz val="12"/>
        <color rgb="FF31333F"/>
        <rFont val="Arial"/>
        <family val="2"/>
      </rPr>
      <t>R10-关水</t>
    </r>
    <r>
      <rPr>
        <sz val="12"/>
        <color rgb="FF31333F"/>
        <rFont val="Arial"/>
        <family val="2"/>
      </rPr>
      <t>的执行结果相互影响</t>
    </r>
  </si>
  <si>
    <t>Ours</t>
  </si>
  <si>
    <t>Rule Trigger Conflict</t>
  </si>
  <si>
    <t>Rule Condition Conflict</t>
  </si>
  <si>
    <t>Indirect Rule Trigger Conflict</t>
  </si>
  <si>
    <t>Indirect Rule Condition Conflict</t>
  </si>
  <si>
    <t>Indirect Rule Action Conflict</t>
  </si>
  <si>
    <t>√</t>
  </si>
  <si>
    <t>R14-R13</t>
  </si>
  <si>
    <t>IoTMediator</t>
  </si>
  <si>
    <t>Condition Enabling/Disabling</t>
  </si>
  <si>
    <t>Race Condition</t>
  </si>
  <si>
    <t>Potential Race Condition</t>
  </si>
  <si>
    <t>Chained Execution</t>
  </si>
  <si>
    <t>Action Revert</t>
  </si>
  <si>
    <t>Infinite Loop</t>
  </si>
  <si>
    <t>Condition Bypass</t>
  </si>
  <si>
    <t>R1-R2</t>
  </si>
  <si>
    <t>R1-R3</t>
  </si>
  <si>
    <t>R1-R4</t>
  </si>
  <si>
    <t>R1-R9</t>
  </si>
  <si>
    <t>R2-R3</t>
  </si>
  <si>
    <t>R2-R4</t>
  </si>
  <si>
    <t>R2-R12</t>
  </si>
  <si>
    <t>R3-R4</t>
  </si>
  <si>
    <t>R3-R9</t>
  </si>
  <si>
    <t>R4-R3</t>
  </si>
  <si>
    <t>R5-R6</t>
  </si>
  <si>
    <t>R6-R5</t>
  </si>
  <si>
    <t>R7-R8</t>
  </si>
  <si>
    <t>R8-R7</t>
  </si>
  <si>
    <t>R9-R3</t>
  </si>
  <si>
    <t>R15-R12</t>
  </si>
  <si>
    <t>R16-R17</t>
  </si>
  <si>
    <t>Classification</t>
  </si>
  <si>
    <t>通信函数名称</t>
  </si>
  <si>
    <t>通信函数介绍</t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</si>
  <si>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charset val="134"/>
      </rPr>
      <t>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</si>
  <si>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2次测试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</si>
  <si>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3次测试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</si>
  <si>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4次测试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</si>
  <si>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5次测试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</si>
  <si>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6次测试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</si>
  <si>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7次测试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</si>
  <si>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charset val="134"/>
      </rPr>
      <t>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</si>
  <si>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9次测试</t>
    </r>
  </si>
  <si>
    <r>
      <rPr>
        <sz val="10.5"/>
        <color theme="1"/>
        <rFont val="宋体"/>
        <charset val="134"/>
      </rPr>
      <t>第</t>
    </r>
    <r>
      <rPr>
        <sz val="10.5"/>
        <color theme="1"/>
        <rFont val="Times New Roman"/>
        <family val="1"/>
      </rPr>
      <t>10次测试</t>
    </r>
  </si>
  <si>
    <t>平均值</t>
  </si>
  <si>
    <t>最大值</t>
  </si>
  <si>
    <t>get_entity_state</t>
  </si>
  <si>
    <t>获取实体状态</t>
  </si>
  <si>
    <t>time_now</t>
  </si>
  <si>
    <r>
      <rPr>
        <sz val="10.5"/>
        <color theme="1"/>
        <rFont val="宋体"/>
        <charset val="134"/>
      </rPr>
      <t>获取</t>
    </r>
    <r>
      <rPr>
        <sz val="10.5"/>
        <color theme="1"/>
        <rFont val="Times New Roman"/>
        <family val="1"/>
      </rPr>
      <t>HomeAssistant</t>
    </r>
    <r>
      <rPr>
        <sz val="10.5"/>
        <color theme="1"/>
        <rFont val="宋体"/>
        <charset val="134"/>
      </rPr>
      <t>系统时间</t>
    </r>
  </si>
  <si>
    <t>command_send</t>
  </si>
  <si>
    <t>发送冲突处理指令</t>
  </si>
  <si>
    <t>communicate_finish</t>
  </si>
  <si>
    <t>结束通信</t>
  </si>
  <si>
    <t>Number of Rules</t>
  </si>
  <si>
    <t>first test</t>
  </si>
  <si>
    <t>second test</t>
  </si>
  <si>
    <t>third test</t>
  </si>
  <si>
    <t>Average Time Consumption</t>
  </si>
  <si>
    <t>运动传感器、亮度传感器、漏水传感器、灯、中央水阀、烟雾报警器、消防喷淋头</t>
    <phoneticPr fontId="17" type="noConversion"/>
  </si>
  <si>
    <t>运动传感器、亮度传感器、温度传感器、灯、暖气、窗户</t>
    <phoneticPr fontId="17" type="noConversion"/>
  </si>
  <si>
    <t>智能门锁、亮度传感器、灯</t>
    <phoneticPr fontId="17" type="noConversion"/>
  </si>
  <si>
    <t>OD-lock、OD-light、OD-brightnessSensor</t>
    <phoneticPr fontId="17" type="noConversion"/>
  </si>
  <si>
    <t>L-motionSensor、L-brightnessSensor、L-light、L-temperatureSensor、L-Humidity、L-airconditioner</t>
    <phoneticPr fontId="17" type="noConversion"/>
  </si>
  <si>
    <t>运动传感器、亮度传感器、灯</t>
    <phoneticPr fontId="17" type="noConversion"/>
  </si>
  <si>
    <t>运动传感器、亮度传感器、温度和湿度传感器、灯、加湿器、地暖、空调</t>
    <phoneticPr fontId="17" type="noConversion"/>
  </si>
  <si>
    <t>设备</t>
    <phoneticPr fontId="17" type="noConversion"/>
  </si>
  <si>
    <t>智能门锁，门廊灯</t>
    <phoneticPr fontId="17" type="noConversion"/>
  </si>
  <si>
    <t>卧室暖气</t>
    <phoneticPr fontId="17" type="noConversion"/>
  </si>
  <si>
    <t>卧室运动传感器，卧室亮度传感器，卧室灯</t>
    <phoneticPr fontId="17" type="noConversion"/>
  </si>
  <si>
    <t>温室运动传感器，卧室亮度传感器，温室灯</t>
    <phoneticPr fontId="17" type="noConversion"/>
  </si>
  <si>
    <t>Log</t>
    <phoneticPr fontId="16" type="noConversion"/>
  </si>
  <si>
    <t>R2-R1</t>
    <phoneticPr fontId="17" type="noConversion"/>
  </si>
  <si>
    <t>R3-R2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</si>
</sst>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family val="1"/>
    </font>
    <font>
      <sz val="10.5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2"/>
      <color rgb="FF31333F"/>
      <name val="Arial"/>
      <family val="2"/>
    </font>
    <font>
      <sz val="12"/>
      <color rgb="FF31333F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14" fillId="0" borderId="0" xfId="0" applyFo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代码插桩通信函数性能测试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[1]性能测试!$C$1</c:f>
              <c:strCache>
                <c:ptCount val="1"/>
                <c:pt idx="0">
                  <c:v>第1次测试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[1]性能测试!$C$2:$C$5</c:f>
              <c:numCache>
                <c:formatCode>General</c:formatCode>
                <c:ptCount val="4"/>
                <c:pt idx="0">
                  <c:v>9.8204612731933594E-4</c:v>
                </c:pt>
                <c:pt idx="1">
                  <c:v>9.7489356994628895E-4</c:v>
                </c:pt>
                <c:pt idx="2">
                  <c:v>9.1552734375E-4</c:v>
                </c:pt>
                <c:pt idx="3">
                  <c:v>9.7751617431640603E-4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3-4DAB-B78F-2FCCF4EE8C01}"/>
            </c:ext>
          </c:extLst>
        </c:ser>
        <c:ser>
          <c:idx val="1"/>
          <c:order val="1"/>
          <c:tx>
            <c:strRef>
              <c:f>[1]性能测试!$D$1</c:f>
              <c:strCache>
                <c:ptCount val="1"/>
                <c:pt idx="0">
                  <c:v>第2次测试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[1]性能测试!$D$2:$D$5</c:f>
              <c:numCache>
                <c:formatCode>General</c:formatCode>
                <c:ptCount val="4"/>
                <c:pt idx="0">
                  <c:v>9.7012519836425705E-4</c:v>
                </c:pt>
                <c:pt idx="1">
                  <c:v>9.7608566284179601E-4</c:v>
                </c:pt>
                <c:pt idx="2">
                  <c:v>9.2768669128417904E-4</c:v>
                </c:pt>
                <c:pt idx="3">
                  <c:v>9.7846984863281207E-4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3-4DAB-B78F-2FCCF4EE8C01}"/>
            </c:ext>
          </c:extLst>
        </c:ser>
        <c:ser>
          <c:idx val="2"/>
          <c:order val="2"/>
          <c:tx>
            <c:strRef>
              <c:f>[1]性能测试!$E$1</c:f>
              <c:strCache>
                <c:ptCount val="1"/>
                <c:pt idx="0">
                  <c:v>第3次测试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[1]性能测试!$E$2:$E$5</c:f>
              <c:numCache>
                <c:formatCode>General</c:formatCode>
                <c:ptCount val="4"/>
                <c:pt idx="0">
                  <c:v>1.9526481628417899E-3</c:v>
                </c:pt>
                <c:pt idx="1">
                  <c:v>9.8252296447753906E-4</c:v>
                </c:pt>
                <c:pt idx="2">
                  <c:v>9.76324081420898E-4</c:v>
                </c:pt>
                <c:pt idx="3">
                  <c:v>9.7608566284179601E-4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3-4DAB-B78F-2FCCF4EE8C01}"/>
            </c:ext>
          </c:extLst>
        </c:ser>
        <c:ser>
          <c:idx val="3"/>
          <c:order val="3"/>
          <c:tx>
            <c:strRef>
              <c:f>[1]性能测试!$F$1</c:f>
              <c:strCache>
                <c:ptCount val="1"/>
                <c:pt idx="0">
                  <c:v>第4次测试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[1]性能测试!$F$2:$F$5</c:f>
              <c:numCache>
                <c:formatCode>General</c:formatCode>
                <c:ptCount val="4"/>
                <c:pt idx="0">
                  <c:v>9.7608566284179601E-4</c:v>
                </c:pt>
                <c:pt idx="1">
                  <c:v>9.76324081420898E-4</c:v>
                </c:pt>
                <c:pt idx="2">
                  <c:v>9.7870826721191406E-4</c:v>
                </c:pt>
                <c:pt idx="3">
                  <c:v>9.7489356994628895E-4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03-4DAB-B78F-2FCCF4EE8C01}"/>
            </c:ext>
          </c:extLst>
        </c:ser>
        <c:ser>
          <c:idx val="4"/>
          <c:order val="4"/>
          <c:tx>
            <c:strRef>
              <c:f>[1]性能测试!$G$1</c:f>
              <c:strCache>
                <c:ptCount val="1"/>
                <c:pt idx="0">
                  <c:v>第5次测试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[1]性能测试!$G$2:$G$5</c:f>
              <c:numCache>
                <c:formatCode>General</c:formatCode>
                <c:ptCount val="4"/>
                <c:pt idx="0">
                  <c:v>9.7680091857910091E-4</c:v>
                </c:pt>
                <c:pt idx="1">
                  <c:v>9.7489356994628895E-4</c:v>
                </c:pt>
                <c:pt idx="2">
                  <c:v>9.7465515136718696E-4</c:v>
                </c:pt>
                <c:pt idx="3">
                  <c:v>9.8156929016113195E-4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03-4DAB-B78F-2FCCF4EE8C01}"/>
            </c:ext>
          </c:extLst>
        </c:ser>
        <c:ser>
          <c:idx val="5"/>
          <c:order val="5"/>
          <c:tx>
            <c:strRef>
              <c:f>[1]性能测试!$H$1</c:f>
              <c:strCache>
                <c:ptCount val="1"/>
                <c:pt idx="0">
                  <c:v>第6次测试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[1]性能测试!$H$2:$H$5</c:f>
              <c:numCache>
                <c:formatCode>General</c:formatCode>
                <c:ptCount val="4"/>
                <c:pt idx="0">
                  <c:v>1.5764236450195299E-3</c:v>
                </c:pt>
                <c:pt idx="1">
                  <c:v>9.7680091857910091E-4</c:v>
                </c:pt>
                <c:pt idx="2">
                  <c:v>9.765625E-4</c:v>
                </c:pt>
                <c:pt idx="3">
                  <c:v>9.832382202148431E-4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03-4DAB-B78F-2FCCF4EE8C01}"/>
            </c:ext>
          </c:extLst>
        </c:ser>
        <c:ser>
          <c:idx val="6"/>
          <c:order val="6"/>
          <c:tx>
            <c:strRef>
              <c:f>[1]性能测试!$I$1</c:f>
              <c:strCache>
                <c:ptCount val="1"/>
                <c:pt idx="0">
                  <c:v>第7次测试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[1]性能测试!$I$2:$I$5</c:f>
              <c:numCache>
                <c:formatCode>General</c:formatCode>
                <c:ptCount val="4"/>
                <c:pt idx="0">
                  <c:v>9.76324081420898E-4</c:v>
                </c:pt>
                <c:pt idx="1">
                  <c:v>9.7537040710449197E-4</c:v>
                </c:pt>
                <c:pt idx="2">
                  <c:v>9.7751617431640603E-4</c:v>
                </c:pt>
                <c:pt idx="3">
                  <c:v>9.7799301147460894E-4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03-4DAB-B78F-2FCCF4EE8C01}"/>
            </c:ext>
          </c:extLst>
        </c:ser>
        <c:ser>
          <c:idx val="7"/>
          <c:order val="7"/>
          <c:tx>
            <c:strRef>
              <c:f>[1]性能测试!$J$1</c:f>
              <c:strCache>
                <c:ptCount val="1"/>
                <c:pt idx="0">
                  <c:v>第8次测试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[1]性能测试!$J$2:$J$5</c:f>
              <c:numCache>
                <c:formatCode>General</c:formatCode>
                <c:ptCount val="4"/>
                <c:pt idx="0">
                  <c:v>9.8180770874023394E-4</c:v>
                </c:pt>
                <c:pt idx="1">
                  <c:v>9.7537040710449197E-4</c:v>
                </c:pt>
                <c:pt idx="2">
                  <c:v>9.765625E-4</c:v>
                </c:pt>
                <c:pt idx="3">
                  <c:v>9.7465515136718696E-4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03-4DAB-B78F-2FCCF4EE8C01}"/>
            </c:ext>
          </c:extLst>
        </c:ser>
        <c:ser>
          <c:idx val="8"/>
          <c:order val="8"/>
          <c:tx>
            <c:strRef>
              <c:f>[1]性能测试!$K$1</c:f>
              <c:strCache>
                <c:ptCount val="1"/>
                <c:pt idx="0">
                  <c:v>第9次测试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[1]性能测试!$K$2:$K$5</c:f>
              <c:numCache>
                <c:formatCode>General</c:formatCode>
                <c:ptCount val="4"/>
                <c:pt idx="0">
                  <c:v>1.5604496002197201E-3</c:v>
                </c:pt>
                <c:pt idx="1">
                  <c:v>9.765625E-4</c:v>
                </c:pt>
                <c:pt idx="2">
                  <c:v>9.6583366394042904E-4</c:v>
                </c:pt>
                <c:pt idx="3">
                  <c:v>9.7751617431640603E-4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03-4DAB-B78F-2FCCF4EE8C01}"/>
            </c:ext>
          </c:extLst>
        </c:ser>
        <c:ser>
          <c:idx val="9"/>
          <c:order val="9"/>
          <c:tx>
            <c:strRef>
              <c:f>[1]性能测试!$L$1</c:f>
              <c:strCache>
                <c:ptCount val="1"/>
                <c:pt idx="0">
                  <c:v>第10次测试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[1]性能测试!$A$2:$B$5</c:f>
              <c:multiLvlStrCache>
                <c:ptCount val="4"/>
                <c:lvl>
                  <c:pt idx="0">
                    <c:v>获取实体状态</c:v>
                  </c:pt>
                  <c:pt idx="1">
                    <c:v>获取HomeAssistant系统时间</c:v>
                  </c:pt>
                  <c:pt idx="2">
                    <c:v>发送冲突处理指令</c:v>
                  </c:pt>
                  <c:pt idx="3">
                    <c:v>结束通信</c:v>
                  </c:pt>
                </c:lvl>
                <c:lvl>
                  <c:pt idx="0">
                    <c:v>get_entity_state</c:v>
                  </c:pt>
                  <c:pt idx="1">
                    <c:v>time_now</c:v>
                  </c:pt>
                  <c:pt idx="2">
                    <c:v>command_send</c:v>
                  </c:pt>
                  <c:pt idx="3">
                    <c:v>communicate_finish</c:v>
                  </c:pt>
                </c:lvl>
              </c:multiLvlStrCache>
            </c:multiLvlStrRef>
          </c:cat>
          <c:val>
            <c:numRef>
              <c:f>[1]性能测试!$L$2:$L$5</c:f>
              <c:numCache>
                <c:formatCode>General</c:formatCode>
                <c:ptCount val="4"/>
                <c:pt idx="0">
                  <c:v>9.7846984863281207E-4</c:v>
                </c:pt>
                <c:pt idx="1">
                  <c:v>9.7608566284179601E-4</c:v>
                </c:pt>
                <c:pt idx="2">
                  <c:v>9.7346305847167904E-4</c:v>
                </c:pt>
                <c:pt idx="3">
                  <c:v>9.7584724426269499E-4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03-4DAB-B78F-2FCCF4EE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194160"/>
        <c:axId val="1481192912"/>
      </c:barChart>
      <c:catAx>
        <c:axId val="148119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测试代码插桩通信函数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192912"/>
        <c:crosses val="autoZero"/>
        <c:auto val="1"/>
        <c:lblAlgn val="ctr"/>
        <c:lblOffset val="100"/>
        <c:noMultiLvlLbl val="0"/>
      </c:catAx>
      <c:valAx>
        <c:axId val="1481192912"/>
        <c:scaling>
          <c:orientation val="minMax"/>
          <c:max val="2.0999999999999999E-3"/>
          <c:min val="8.0000000000000004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耗时（单位秒</a:t>
                </a:r>
                <a:r>
                  <a:rPr lang="en-US" altLang="zh-CN" sz="1000" b="0" i="0" u="none" strike="noStrike" baseline="0">
                    <a:effectLst/>
                  </a:rPr>
                  <a:t>/s</a:t>
                </a:r>
                <a:r>
                  <a:rPr lang="zh-CN" altLang="zh-CN" sz="1000" b="0" i="0" u="none" strike="noStrike" baseline="0">
                    <a:effectLst/>
                  </a:rPr>
                  <a:t>）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19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af14ca-db1f-47a4-a099-e83d9f6806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474382805501142"/>
          <c:y val="8.605901857569799E-2"/>
          <c:w val="0.58020899896757583"/>
          <c:h val="0.57875359942515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静态检测性能!$O$7</c:f>
              <c:strCache>
                <c:ptCount val="1"/>
                <c:pt idx="0">
                  <c:v>Number of Rules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val>
            <c:numRef>
              <c:f>静态检测性能!$O$8:$O$12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4533-919B-54C7958C3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873375"/>
        <c:axId val="1158872959"/>
      </c:barChart>
      <c:lineChart>
        <c:grouping val="standard"/>
        <c:varyColors val="0"/>
        <c:ser>
          <c:idx val="1"/>
          <c:order val="1"/>
          <c:tx>
            <c:strRef>
              <c:f>静态检测性能!$S$7</c:f>
              <c:strCache>
                <c:ptCount val="1"/>
                <c:pt idx="0">
                  <c:v>Average Time Consumption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静态检测性能!$S$8:$S$12</c:f>
              <c:numCache>
                <c:formatCode>General</c:formatCode>
                <c:ptCount val="5"/>
                <c:pt idx="0">
                  <c:v>1.3369333333333334E-3</c:v>
                </c:pt>
                <c:pt idx="1">
                  <c:v>2.9072999999999998E-2</c:v>
                </c:pt>
                <c:pt idx="2">
                  <c:v>0.11809533333333333</c:v>
                </c:pt>
                <c:pt idx="3">
                  <c:v>2.9914683333333332</c:v>
                </c:pt>
                <c:pt idx="4">
                  <c:v>11.953564333333333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F-4533-919B-54C7958C3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875455"/>
        <c:axId val="1158873791"/>
      </c:lineChart>
      <c:catAx>
        <c:axId val="1158873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900" b="1" i="0" u="none" strike="noStrike" kern="1200" baseline="0">
                    <a:solidFill>
                      <a:srgbClr val="44546A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rPr>
                  <a:t>Number of test rounds</a:t>
                </a:r>
                <a:endParaRPr lang="zh-CN" sz="900" b="1" i="0" u="none" strike="noStrike" kern="1200" baseline="0">
                  <a:solidFill>
                    <a:schemeClr val="tx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900" b="1" i="0" u="none" strike="noStrike" kern="1200" baseline="0">
                  <a:solidFill>
                    <a:srgbClr val="44546A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8872959"/>
        <c:crosses val="autoZero"/>
        <c:auto val="1"/>
        <c:lblAlgn val="ctr"/>
        <c:lblOffset val="100"/>
        <c:noMultiLvlLbl val="0"/>
      </c:catAx>
      <c:valAx>
        <c:axId val="11588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number of rules</a:t>
                </a:r>
                <a:endParaRPr lang="zh-CN">
                  <a:solidFill>
                    <a:schemeClr val="tx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+mn-ea"/>
                <a:cs typeface="+mn-cs"/>
              </a:defRPr>
            </a:pPr>
            <a:endParaRPr lang="zh-CN"/>
          </a:p>
        </c:txPr>
        <c:crossAx val="1158873375"/>
        <c:crosses val="autoZero"/>
        <c:crossBetween val="between"/>
      </c:valAx>
      <c:valAx>
        <c:axId val="11588737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900" b="1" i="0" u="none" strike="noStrike" kern="1200" baseline="0">
                    <a:solidFill>
                      <a:srgbClr val="44546A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rPr>
                  <a:t>Time spent(secondes)</a:t>
                </a:r>
                <a:endParaRPr lang="zh-CN" sz="900" b="1" i="0" u="none" strike="noStrike" kern="1200" baseline="0">
                  <a:solidFill>
                    <a:schemeClr val="tx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900" b="1" i="0" u="none" strike="noStrike" kern="1200" baseline="0">
                  <a:solidFill>
                    <a:srgbClr val="44546A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+mn-ea"/>
                <a:cs typeface="+mn-cs"/>
              </a:defRPr>
            </a:pPr>
            <a:endParaRPr lang="zh-CN"/>
          </a:p>
        </c:txPr>
        <c:crossAx val="1158875455"/>
        <c:crosses val="max"/>
        <c:crossBetween val="between"/>
      </c:valAx>
      <c:catAx>
        <c:axId val="11588754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588737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49668928721571"/>
          <c:y val="0.93755574367002337"/>
          <c:w val="0.68213726773706329"/>
          <c:h val="5.8306883312563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1179787</xdr:colOff>
      <xdr:row>7</xdr:row>
      <xdr:rowOff>44146</xdr:rowOff>
    </xdr:from>
    <xdr:to>
      <xdr:col>10</xdr:col>
      <xdr:colOff>284164</xdr:colOff>
      <xdr:row>32</xdr:row>
      <xdr:rowOff>121785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1043719</xdr:colOff>
      <xdr:row>19</xdr:row>
      <xdr:rowOff>776653</xdr:rowOff>
    </xdr:from>
    <xdr:to>
      <xdr:col>26</xdr:col>
      <xdr:colOff>527539</xdr:colOff>
      <xdr:row>40</xdr:row>
      <xdr:rowOff>131885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F9CFDE3-D860-486C-8AA8-0F9BC9FD1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ming/MyWork/platform/&#35268;&#21017;&#20914;&#31361;&#35774;&#3574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 Survey"/>
      <sheetName val="IoTMediator"/>
      <sheetName val="动态检测"/>
      <sheetName val="规则总结-详细"/>
      <sheetName val="分类依据"/>
      <sheetName val="测试-r32"/>
      <sheetName val="测试-r"/>
      <sheetName val="测试总"/>
      <sheetName val="性能测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第1次测试</v>
          </cell>
          <cell r="D1" t="str">
            <v>第2次测试</v>
          </cell>
          <cell r="E1" t="str">
            <v>第3次测试</v>
          </cell>
          <cell r="F1" t="str">
            <v>第4次测试</v>
          </cell>
          <cell r="G1" t="str">
            <v>第5次测试</v>
          </cell>
          <cell r="H1" t="str">
            <v>第6次测试</v>
          </cell>
          <cell r="I1" t="str">
            <v>第7次测试</v>
          </cell>
          <cell r="J1" t="str">
            <v>第8次测试</v>
          </cell>
          <cell r="K1" t="str">
            <v>第9次测试</v>
          </cell>
          <cell r="L1" t="str">
            <v>第10次测试</v>
          </cell>
        </row>
        <row r="2">
          <cell r="A2" t="str">
            <v>get_entity_state</v>
          </cell>
          <cell r="B2" t="str">
            <v>获取实体状态</v>
          </cell>
          <cell r="C2">
            <v>9.8204612731933594E-4</v>
          </cell>
          <cell r="D2">
            <v>9.7012519836425705E-4</v>
          </cell>
          <cell r="E2">
            <v>1.9526481628417899E-3</v>
          </cell>
          <cell r="F2">
            <v>9.7608566284179601E-4</v>
          </cell>
          <cell r="G2">
            <v>9.7680091857910091E-4</v>
          </cell>
          <cell r="H2">
            <v>1.5764236450195299E-3</v>
          </cell>
          <cell r="I2">
            <v>9.76324081420898E-4</v>
          </cell>
          <cell r="J2">
            <v>9.8180770874023394E-4</v>
          </cell>
          <cell r="K2">
            <v>1.5604496002197201E-3</v>
          </cell>
          <cell r="L2">
            <v>9.7846984863281207E-4</v>
          </cell>
        </row>
        <row r="3">
          <cell r="A3" t="str">
            <v>time_now</v>
          </cell>
          <cell r="B3" t="str">
            <v>获取HomeAssistant系统时间</v>
          </cell>
          <cell r="C3">
            <v>9.7489356994628895E-4</v>
          </cell>
          <cell r="D3">
            <v>9.7608566284179601E-4</v>
          </cell>
          <cell r="E3">
            <v>9.8252296447753906E-4</v>
          </cell>
          <cell r="F3">
            <v>9.76324081420898E-4</v>
          </cell>
          <cell r="G3">
            <v>9.7489356994628895E-4</v>
          </cell>
          <cell r="H3">
            <v>9.7680091857910091E-4</v>
          </cell>
          <cell r="I3">
            <v>9.7537040710449197E-4</v>
          </cell>
          <cell r="J3">
            <v>9.7537040710449197E-4</v>
          </cell>
          <cell r="K3">
            <v>9.765625E-4</v>
          </cell>
          <cell r="L3">
            <v>9.7608566284179601E-4</v>
          </cell>
        </row>
        <row r="4">
          <cell r="A4" t="str">
            <v>command_send</v>
          </cell>
          <cell r="B4" t="str">
            <v>发送冲突处理指令</v>
          </cell>
          <cell r="C4">
            <v>9.1552734375E-4</v>
          </cell>
          <cell r="D4">
            <v>9.2768669128417904E-4</v>
          </cell>
          <cell r="E4">
            <v>9.76324081420898E-4</v>
          </cell>
          <cell r="F4">
            <v>9.7870826721191406E-4</v>
          </cell>
          <cell r="G4">
            <v>9.7465515136718696E-4</v>
          </cell>
          <cell r="H4">
            <v>9.765625E-4</v>
          </cell>
          <cell r="I4">
            <v>9.7751617431640603E-4</v>
          </cell>
          <cell r="J4">
            <v>9.765625E-4</v>
          </cell>
          <cell r="K4">
            <v>9.6583366394042904E-4</v>
          </cell>
          <cell r="L4">
            <v>9.7346305847167904E-4</v>
          </cell>
        </row>
        <row r="5">
          <cell r="A5" t="str">
            <v>communicate_finish</v>
          </cell>
          <cell r="B5" t="str">
            <v>结束通信</v>
          </cell>
          <cell r="C5">
            <v>9.7751617431640603E-4</v>
          </cell>
          <cell r="D5">
            <v>9.7846984863281207E-4</v>
          </cell>
          <cell r="E5">
            <v>9.7608566284179601E-4</v>
          </cell>
          <cell r="F5">
            <v>9.7489356994628895E-4</v>
          </cell>
          <cell r="G5">
            <v>9.8156929016113195E-4</v>
          </cell>
          <cell r="H5">
            <v>9.832382202148431E-4</v>
          </cell>
          <cell r="I5">
            <v>9.7799301147460894E-4</v>
          </cell>
          <cell r="J5">
            <v>9.7465515136718696E-4</v>
          </cell>
          <cell r="K5">
            <v>9.7751617431640603E-4</v>
          </cell>
          <cell r="L5">
            <v>9.7584724426269499E-4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N5" totalsRowShown="0">
  <autoFilter ref="A1:N5" xr:uid="{00000000-0009-0000-0100-000001000000}"/>
  <tableColumns count="14">
    <tableColumn id="1" xr3:uid="{00000000-0010-0000-0000-000001000000}" name="通信函数名称"/>
    <tableColumn id="2" xr3:uid="{00000000-0010-0000-0000-000002000000}" name="通信函数介绍"/>
    <tableColumn id="3" xr3:uid="{00000000-0010-0000-0000-000003000000}" name="第1次测试"/>
    <tableColumn id="4" xr3:uid="{00000000-0010-0000-0000-000004000000}" name="第2次测试"/>
    <tableColumn id="5" xr3:uid="{00000000-0010-0000-0000-000005000000}" name="第3次测试"/>
    <tableColumn id="6" xr3:uid="{00000000-0010-0000-0000-000006000000}" name="第4次测试"/>
    <tableColumn id="7" xr3:uid="{00000000-0010-0000-0000-000007000000}" name="第5次测试"/>
    <tableColumn id="8" xr3:uid="{00000000-0010-0000-0000-000008000000}" name="第6次测试"/>
    <tableColumn id="9" xr3:uid="{00000000-0010-0000-0000-000009000000}" name="第7次测试"/>
    <tableColumn id="10" xr3:uid="{00000000-0010-0000-0000-00000A000000}" name="第8次测试"/>
    <tableColumn id="11" xr3:uid="{00000000-0010-0000-0000-00000B000000}" name="第9次测试"/>
    <tableColumn id="12" xr3:uid="{00000000-0010-0000-0000-00000C000000}" name="第10次测试"/>
    <tableColumn id="13" xr3:uid="{00000000-0010-0000-0000-00000D000000}" name="平均值">
      <calculatedColumnFormula>AVERAGE(表1[[#This Row],[第1次测试]:[第10次测试]])</calculatedColumnFormula>
    </tableColumn>
    <tableColumn id="14" xr3:uid="{00000000-0010-0000-0000-00000E000000}" name="最大值">
      <calculatedColumnFormula>MAX(表1[[#This Row],[第1次测试]:[平均值]])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6"/>
  <sheetViews>
    <sheetView workbookViewId="0">
      <selection activeCell="E16" sqref="E16"/>
    </sheetView>
  </sheetViews>
  <sheetFormatPr defaultColWidth="9" defaultRowHeight="13.5" x14ac:dyDescent="0.15"/>
  <cols>
    <col min="2" max="2" width="67.5" customWidth="1"/>
    <col min="3" max="3" width="21.75" customWidth="1"/>
    <col min="4" max="4" width="29.125" customWidth="1"/>
    <col min="5" max="5" width="13.375" customWidth="1"/>
    <col min="6" max="6" width="30.75" customWidth="1"/>
    <col min="7" max="7" width="68" customWidth="1"/>
  </cols>
  <sheetData>
    <row r="2" spans="1:12" ht="15" x14ac:dyDescent="0.15">
      <c r="A2" s="16" t="s">
        <v>0</v>
      </c>
      <c r="B2" s="16" t="s">
        <v>1</v>
      </c>
      <c r="C2" s="16" t="s">
        <v>2</v>
      </c>
      <c r="D2" s="16" t="s">
        <v>3</v>
      </c>
    </row>
    <row r="3" spans="1:12" ht="16.5" x14ac:dyDescent="0.15">
      <c r="A3" s="17" t="s">
        <v>4</v>
      </c>
      <c r="B3" s="17" t="s">
        <v>5</v>
      </c>
      <c r="C3" s="18" t="s">
        <v>6</v>
      </c>
      <c r="D3" s="18" t="s">
        <v>7</v>
      </c>
    </row>
    <row r="4" spans="1:12" ht="16.5" x14ac:dyDescent="0.15">
      <c r="A4" s="17" t="s">
        <v>8</v>
      </c>
      <c r="B4" s="17" t="s">
        <v>9</v>
      </c>
      <c r="C4" s="18" t="s">
        <v>6</v>
      </c>
      <c r="D4" s="22" t="s">
        <v>159</v>
      </c>
    </row>
    <row r="5" spans="1:12" ht="16.5" x14ac:dyDescent="0.15">
      <c r="A5" s="17" t="s">
        <v>10</v>
      </c>
      <c r="B5" s="17" t="s">
        <v>11</v>
      </c>
      <c r="C5" s="18" t="s">
        <v>12</v>
      </c>
      <c r="D5" s="18" t="s">
        <v>13</v>
      </c>
    </row>
    <row r="6" spans="1:12" ht="16.5" x14ac:dyDescent="0.15">
      <c r="A6" s="17" t="s">
        <v>14</v>
      </c>
      <c r="B6" s="17" t="s">
        <v>15</v>
      </c>
      <c r="C6" s="18" t="s">
        <v>16</v>
      </c>
      <c r="D6" s="18" t="s">
        <v>17</v>
      </c>
    </row>
    <row r="7" spans="1:12" ht="16.5" x14ac:dyDescent="0.15">
      <c r="A7" s="17" t="s">
        <v>18</v>
      </c>
      <c r="B7" s="17" t="s">
        <v>19</v>
      </c>
      <c r="C7" s="18" t="s">
        <v>16</v>
      </c>
      <c r="D7" s="18" t="s">
        <v>20</v>
      </c>
    </row>
    <row r="8" spans="1:12" ht="16.5" x14ac:dyDescent="0.15">
      <c r="A8" s="17" t="s">
        <v>21</v>
      </c>
      <c r="B8" s="17" t="s">
        <v>22</v>
      </c>
      <c r="C8" s="18" t="s">
        <v>16</v>
      </c>
      <c r="D8" s="18" t="s">
        <v>20</v>
      </c>
    </row>
    <row r="9" spans="1:12" ht="16.5" x14ac:dyDescent="0.15">
      <c r="A9" s="17" t="s">
        <v>23</v>
      </c>
      <c r="B9" s="17" t="s">
        <v>24</v>
      </c>
      <c r="C9" s="18" t="s">
        <v>16</v>
      </c>
      <c r="D9" s="18" t="s">
        <v>25</v>
      </c>
    </row>
    <row r="10" spans="1:12" ht="16.5" x14ac:dyDescent="0.15">
      <c r="A10" s="17" t="s">
        <v>26</v>
      </c>
      <c r="B10" s="17" t="s">
        <v>27</v>
      </c>
      <c r="C10" s="18" t="s">
        <v>16</v>
      </c>
      <c r="D10" s="18" t="s">
        <v>28</v>
      </c>
    </row>
    <row r="11" spans="1:12" ht="16.5" x14ac:dyDescent="0.15">
      <c r="A11" s="17" t="s">
        <v>29</v>
      </c>
      <c r="B11" s="17" t="s">
        <v>30</v>
      </c>
      <c r="C11" s="18" t="s">
        <v>31</v>
      </c>
      <c r="D11" s="18" t="s">
        <v>32</v>
      </c>
    </row>
    <row r="12" spans="1:12" ht="16.5" x14ac:dyDescent="0.15">
      <c r="A12" s="17" t="s">
        <v>33</v>
      </c>
      <c r="B12" s="17" t="s">
        <v>34</v>
      </c>
      <c r="C12" s="18" t="s">
        <v>31</v>
      </c>
      <c r="D12" s="18" t="s">
        <v>35</v>
      </c>
      <c r="H12" s="16"/>
      <c r="I12" s="16"/>
      <c r="J12" s="16"/>
      <c r="K12" s="16"/>
    </row>
    <row r="13" spans="1:12" ht="16.5" x14ac:dyDescent="0.15">
      <c r="A13" s="17" t="s">
        <v>36</v>
      </c>
      <c r="B13" s="17" t="s">
        <v>37</v>
      </c>
      <c r="C13" s="18" t="s">
        <v>31</v>
      </c>
      <c r="D13" s="18" t="s">
        <v>38</v>
      </c>
      <c r="H13" s="18"/>
      <c r="I13" s="18"/>
      <c r="J13" s="18"/>
      <c r="K13" s="18"/>
      <c r="L13" s="18"/>
    </row>
    <row r="14" spans="1:12" ht="16.5" x14ac:dyDescent="0.15">
      <c r="A14" s="17" t="s">
        <v>39</v>
      </c>
      <c r="B14" s="17" t="s">
        <v>40</v>
      </c>
      <c r="C14" s="18" t="s">
        <v>41</v>
      </c>
      <c r="D14" s="22" t="s">
        <v>161</v>
      </c>
      <c r="H14" s="18"/>
      <c r="I14" s="18"/>
      <c r="J14" s="18"/>
      <c r="K14" s="18"/>
      <c r="L14" s="18"/>
    </row>
    <row r="15" spans="1:12" ht="16.5" x14ac:dyDescent="0.15">
      <c r="A15" s="17" t="s">
        <v>42</v>
      </c>
      <c r="B15" s="17" t="s">
        <v>43</v>
      </c>
      <c r="C15" s="18" t="s">
        <v>41</v>
      </c>
      <c r="D15" s="22" t="s">
        <v>160</v>
      </c>
      <c r="H15" s="18"/>
      <c r="I15" s="18"/>
      <c r="J15" s="18"/>
      <c r="K15" s="18"/>
      <c r="L15" s="18"/>
    </row>
    <row r="16" spans="1:12" ht="16.5" x14ac:dyDescent="0.15">
      <c r="A16" s="17" t="s">
        <v>44</v>
      </c>
      <c r="B16" s="17" t="s">
        <v>45</v>
      </c>
      <c r="C16" s="18" t="s">
        <v>41</v>
      </c>
      <c r="D16" s="18" t="s">
        <v>46</v>
      </c>
      <c r="H16" s="18"/>
      <c r="I16" s="18"/>
      <c r="J16" s="18"/>
      <c r="K16" s="18"/>
      <c r="L16" s="18"/>
    </row>
    <row r="17" spans="1:12" ht="16.5" x14ac:dyDescent="0.15">
      <c r="A17" s="17" t="s">
        <v>47</v>
      </c>
      <c r="B17" s="17" t="s">
        <v>48</v>
      </c>
      <c r="C17" s="18" t="s">
        <v>49</v>
      </c>
      <c r="D17" s="22" t="s">
        <v>162</v>
      </c>
      <c r="H17" s="18"/>
      <c r="I17" s="18"/>
      <c r="J17" s="18"/>
      <c r="K17" s="18"/>
      <c r="L17" s="18"/>
    </row>
    <row r="18" spans="1:12" ht="16.5" x14ac:dyDescent="0.15">
      <c r="A18" s="17" t="s">
        <v>50</v>
      </c>
      <c r="B18" s="17" t="s">
        <v>51</v>
      </c>
      <c r="C18" s="18" t="s">
        <v>49</v>
      </c>
      <c r="D18" s="18" t="s">
        <v>52</v>
      </c>
      <c r="E18" s="18"/>
      <c r="F18" s="19"/>
      <c r="G18" s="20"/>
      <c r="H18" s="18"/>
      <c r="I18" s="18"/>
      <c r="J18" s="18"/>
      <c r="K18" s="18"/>
      <c r="L18" s="18"/>
    </row>
    <row r="19" spans="1:12" ht="16.5" x14ac:dyDescent="0.15">
      <c r="A19" s="17" t="s">
        <v>53</v>
      </c>
      <c r="B19" s="17" t="s">
        <v>54</v>
      </c>
      <c r="C19" s="18" t="s">
        <v>49</v>
      </c>
      <c r="D19" s="18" t="s">
        <v>55</v>
      </c>
      <c r="E19" s="18"/>
      <c r="F19" s="18"/>
      <c r="G19" s="20"/>
      <c r="H19" s="18"/>
      <c r="I19" s="18"/>
      <c r="J19" s="18"/>
      <c r="K19" s="18"/>
      <c r="L19" s="18"/>
    </row>
    <row r="20" spans="1:12" ht="16.5" x14ac:dyDescent="0.15">
      <c r="A20" s="18" t="s">
        <v>56</v>
      </c>
      <c r="H20" s="18"/>
      <c r="I20" s="18"/>
      <c r="J20" s="18"/>
      <c r="K20" s="18"/>
      <c r="L20" s="18"/>
    </row>
    <row r="21" spans="1:12" ht="16.5" x14ac:dyDescent="0.15">
      <c r="A21" s="18"/>
      <c r="B21" s="18"/>
      <c r="C21" s="18"/>
      <c r="D21" s="18"/>
      <c r="E21" s="18"/>
      <c r="F21" s="18"/>
      <c r="G21" s="20"/>
      <c r="H21" s="18"/>
      <c r="I21" s="18"/>
      <c r="J21" s="18"/>
      <c r="K21" s="18"/>
      <c r="L21" s="18"/>
    </row>
    <row r="22" spans="1:12" ht="16.5" x14ac:dyDescent="0.15">
      <c r="A22" s="18"/>
      <c r="B22" s="18"/>
      <c r="C22" s="18"/>
      <c r="D22" s="18"/>
      <c r="E22" s="18"/>
      <c r="F22" s="18"/>
      <c r="G22" s="20"/>
      <c r="H22" s="18"/>
      <c r="I22" s="18"/>
      <c r="J22" s="18"/>
      <c r="K22" s="18"/>
      <c r="L22" s="18"/>
    </row>
    <row r="23" spans="1:12" ht="16.5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16.5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16.5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6.5" x14ac:dyDescent="0.15">
      <c r="A26" s="18"/>
      <c r="B26" s="18"/>
      <c r="C26" s="18"/>
      <c r="D26" s="18"/>
    </row>
    <row r="27" spans="1:12" ht="16.5" x14ac:dyDescent="0.15">
      <c r="A27" s="18"/>
      <c r="B27" s="18"/>
      <c r="C27" s="18"/>
      <c r="D27" s="18"/>
    </row>
    <row r="28" spans="1:12" ht="16.5" x14ac:dyDescent="0.15">
      <c r="A28" s="18"/>
      <c r="B28" s="18"/>
      <c r="C28" s="18"/>
      <c r="D28" s="18"/>
    </row>
    <row r="29" spans="1:12" ht="16.5" x14ac:dyDescent="0.15">
      <c r="A29" s="18"/>
      <c r="B29" s="18"/>
      <c r="C29" s="18"/>
      <c r="D29" s="18"/>
    </row>
    <row r="30" spans="1:12" ht="16.5" x14ac:dyDescent="0.15">
      <c r="A30" s="18"/>
      <c r="B30" s="18"/>
      <c r="C30" s="18"/>
      <c r="D30" s="18"/>
    </row>
    <row r="31" spans="1:12" ht="16.5" x14ac:dyDescent="0.15">
      <c r="A31" s="18"/>
      <c r="B31" s="18"/>
      <c r="C31" s="18"/>
      <c r="D31" s="18"/>
    </row>
    <row r="32" spans="1:12" ht="16.5" x14ac:dyDescent="0.15">
      <c r="A32" s="18"/>
      <c r="B32" s="18"/>
      <c r="C32" s="18"/>
      <c r="D32" s="18"/>
    </row>
    <row r="33" spans="1:5" ht="16.5" x14ac:dyDescent="0.15">
      <c r="A33" s="18"/>
      <c r="B33" s="18"/>
      <c r="C33" s="18"/>
      <c r="D33" s="18"/>
    </row>
    <row r="34" spans="1:5" ht="16.5" x14ac:dyDescent="0.15">
      <c r="A34" s="18"/>
      <c r="B34" s="18"/>
      <c r="C34" s="18"/>
      <c r="D34" s="18"/>
    </row>
    <row r="35" spans="1:5" ht="16.5" x14ac:dyDescent="0.15">
      <c r="A35" s="18"/>
      <c r="B35" s="18"/>
      <c r="C35" s="18"/>
      <c r="D35" s="18"/>
    </row>
    <row r="36" spans="1:5" ht="15" x14ac:dyDescent="0.15">
      <c r="A36" s="16" t="s">
        <v>2</v>
      </c>
      <c r="B36" s="23" t="s">
        <v>158</v>
      </c>
    </row>
    <row r="37" spans="1:5" ht="16.5" x14ac:dyDescent="0.15">
      <c r="A37" s="18" t="s">
        <v>57</v>
      </c>
      <c r="B37" s="22" t="s">
        <v>153</v>
      </c>
      <c r="C37" s="18"/>
      <c r="D37" s="22" t="s">
        <v>154</v>
      </c>
    </row>
    <row r="38" spans="1:5" ht="16.5" x14ac:dyDescent="0.15">
      <c r="A38" s="18" t="s">
        <v>58</v>
      </c>
      <c r="B38" s="22" t="s">
        <v>156</v>
      </c>
      <c r="C38" s="18"/>
      <c r="D38" s="18" t="s">
        <v>59</v>
      </c>
    </row>
    <row r="39" spans="1:5" ht="16.5" x14ac:dyDescent="0.15">
      <c r="A39" s="18" t="s">
        <v>60</v>
      </c>
      <c r="B39" s="22" t="s">
        <v>157</v>
      </c>
      <c r="C39" s="18"/>
      <c r="D39" s="22" t="s">
        <v>155</v>
      </c>
    </row>
    <row r="40" spans="1:5" ht="16.5" x14ac:dyDescent="0.15">
      <c r="A40" s="18" t="s">
        <v>61</v>
      </c>
      <c r="B40" s="22" t="s">
        <v>151</v>
      </c>
      <c r="C40" s="18"/>
      <c r="D40" s="18" t="s">
        <v>62</v>
      </c>
    </row>
    <row r="41" spans="1:5" ht="16.5" x14ac:dyDescent="0.15">
      <c r="A41" s="18" t="s">
        <v>63</v>
      </c>
      <c r="B41" s="18"/>
      <c r="C41" s="18"/>
      <c r="D41" s="18"/>
    </row>
    <row r="42" spans="1:5" ht="16.5" x14ac:dyDescent="0.15">
      <c r="A42" s="18" t="s">
        <v>64</v>
      </c>
      <c r="B42" s="22" t="s">
        <v>152</v>
      </c>
      <c r="C42" s="18"/>
      <c r="D42" s="18" t="s">
        <v>65</v>
      </c>
    </row>
    <row r="43" spans="1:5" ht="16.5" x14ac:dyDescent="0.15">
      <c r="A43" s="18" t="s">
        <v>66</v>
      </c>
      <c r="B43" s="22" t="s">
        <v>152</v>
      </c>
      <c r="C43" s="18"/>
      <c r="D43" s="18" t="s">
        <v>67</v>
      </c>
    </row>
    <row r="44" spans="1:5" ht="16.5" x14ac:dyDescent="0.15">
      <c r="A44" s="18" t="s">
        <v>68</v>
      </c>
      <c r="B44" s="18" t="s">
        <v>69</v>
      </c>
      <c r="C44" s="18"/>
      <c r="D44" s="18" t="s">
        <v>70</v>
      </c>
      <c r="E44" s="18"/>
    </row>
    <row r="45" spans="1:5" ht="16.5" x14ac:dyDescent="0.15">
      <c r="A45" s="18"/>
      <c r="B45" s="18"/>
      <c r="C45" s="18"/>
      <c r="D45" s="18"/>
    </row>
    <row r="46" spans="1:5" ht="16.5" x14ac:dyDescent="0.15">
      <c r="A46" s="18"/>
      <c r="B46" s="18"/>
      <c r="C46" s="18"/>
      <c r="D46" s="18"/>
    </row>
    <row r="47" spans="1:5" ht="16.5" x14ac:dyDescent="0.15">
      <c r="A47" s="18"/>
      <c r="B47" s="18"/>
      <c r="C47" s="18"/>
      <c r="D47" s="18"/>
    </row>
    <row r="48" spans="1:5" ht="15" x14ac:dyDescent="0.15">
      <c r="A48" s="16" t="s">
        <v>71</v>
      </c>
      <c r="B48" s="16" t="s">
        <v>72</v>
      </c>
      <c r="C48" s="16" t="s">
        <v>73</v>
      </c>
      <c r="D48" s="16" t="s">
        <v>74</v>
      </c>
    </row>
    <row r="49" spans="1:5" ht="16.5" x14ac:dyDescent="0.15">
      <c r="A49" s="18" t="s">
        <v>75</v>
      </c>
      <c r="B49" s="18" t="s">
        <v>76</v>
      </c>
      <c r="C49" s="18" t="s">
        <v>77</v>
      </c>
      <c r="D49" s="18" t="s">
        <v>78</v>
      </c>
    </row>
    <row r="50" spans="1:5" ht="16.5" x14ac:dyDescent="0.15">
      <c r="A50" s="18" t="s">
        <v>79</v>
      </c>
      <c r="B50" s="18" t="s">
        <v>80</v>
      </c>
      <c r="C50" s="21" t="s">
        <v>81</v>
      </c>
      <c r="D50" s="18" t="s">
        <v>82</v>
      </c>
      <c r="E50" s="18"/>
    </row>
    <row r="51" spans="1:5" ht="16.5" x14ac:dyDescent="0.15">
      <c r="A51" s="18" t="s">
        <v>75</v>
      </c>
      <c r="B51" s="18" t="s">
        <v>83</v>
      </c>
      <c r="C51" s="18" t="s">
        <v>81</v>
      </c>
      <c r="D51" s="18" t="s">
        <v>84</v>
      </c>
      <c r="E51" s="18"/>
    </row>
    <row r="52" spans="1:5" ht="16.5" x14ac:dyDescent="0.15">
      <c r="A52" s="18" t="s">
        <v>85</v>
      </c>
      <c r="B52" s="18" t="s">
        <v>86</v>
      </c>
      <c r="C52" s="21" t="s">
        <v>87</v>
      </c>
      <c r="D52" s="18" t="s">
        <v>88</v>
      </c>
      <c r="E52" s="18"/>
    </row>
    <row r="53" spans="1:5" ht="16.5" x14ac:dyDescent="0.15">
      <c r="A53" s="18" t="s">
        <v>79</v>
      </c>
      <c r="B53" s="18" t="s">
        <v>89</v>
      </c>
      <c r="C53" s="21" t="s">
        <v>87</v>
      </c>
      <c r="D53" s="18" t="s">
        <v>88</v>
      </c>
      <c r="E53" s="18"/>
    </row>
    <row r="54" spans="1:5" ht="16.5" x14ac:dyDescent="0.15">
      <c r="A54" s="18"/>
      <c r="B54" s="18"/>
      <c r="C54" s="18"/>
      <c r="D54" s="18"/>
      <c r="E54" s="18"/>
    </row>
    <row r="55" spans="1:5" ht="16.5" x14ac:dyDescent="0.15">
      <c r="A55" s="18"/>
      <c r="B55" s="18"/>
      <c r="C55" s="18"/>
      <c r="D55" s="18"/>
      <c r="E55" s="18"/>
    </row>
    <row r="56" spans="1:5" ht="16.5" x14ac:dyDescent="0.15">
      <c r="A56" s="18"/>
      <c r="B56" s="18"/>
      <c r="C56" s="18"/>
      <c r="D56" s="18"/>
      <c r="E56" s="18"/>
    </row>
    <row r="57" spans="1:5" ht="16.5" x14ac:dyDescent="0.15">
      <c r="A57" s="18"/>
      <c r="B57" s="18"/>
      <c r="C57" s="18"/>
      <c r="D57" s="18"/>
      <c r="E57" s="18"/>
    </row>
    <row r="58" spans="1:5" ht="16.5" x14ac:dyDescent="0.15">
      <c r="A58" s="18"/>
      <c r="B58" s="18"/>
      <c r="C58" s="18"/>
      <c r="D58" s="18"/>
      <c r="E58" s="18"/>
    </row>
    <row r="59" spans="1:5" ht="16.5" x14ac:dyDescent="0.15">
      <c r="A59" s="18"/>
      <c r="B59" s="18"/>
      <c r="C59" s="18"/>
      <c r="D59" s="18"/>
      <c r="E59" s="18"/>
    </row>
    <row r="60" spans="1:5" ht="16.5" x14ac:dyDescent="0.15">
      <c r="A60" s="18"/>
      <c r="B60" s="18"/>
      <c r="C60" s="18"/>
      <c r="D60" s="18"/>
      <c r="E60" s="18"/>
    </row>
    <row r="61" spans="1:5" ht="16.5" x14ac:dyDescent="0.15">
      <c r="A61" s="18"/>
      <c r="B61" s="18"/>
      <c r="C61" s="18"/>
      <c r="D61" s="18"/>
      <c r="E61" s="18"/>
    </row>
    <row r="62" spans="1:5" ht="16.5" x14ac:dyDescent="0.15">
      <c r="A62" s="18"/>
      <c r="B62" s="18"/>
      <c r="C62" s="18"/>
      <c r="D62" s="18"/>
      <c r="E62" s="18"/>
    </row>
    <row r="63" spans="1:5" ht="16.5" x14ac:dyDescent="0.15">
      <c r="A63" s="18"/>
      <c r="B63" s="18"/>
      <c r="C63" s="18"/>
      <c r="D63" s="18"/>
      <c r="E63" s="18"/>
    </row>
    <row r="64" spans="1:5" ht="16.5" x14ac:dyDescent="0.15">
      <c r="A64" s="18"/>
      <c r="B64" s="18"/>
      <c r="C64" s="18"/>
      <c r="D64" s="18"/>
      <c r="E64" s="18"/>
    </row>
    <row r="65" spans="1:5" ht="16.5" x14ac:dyDescent="0.15">
      <c r="A65" s="18"/>
      <c r="B65" s="18"/>
      <c r="C65" s="18"/>
      <c r="D65" s="18"/>
      <c r="E65" s="18"/>
    </row>
    <row r="66" spans="1:5" ht="16.5" x14ac:dyDescent="0.15">
      <c r="A66" s="18"/>
      <c r="B66" s="18"/>
      <c r="C66" s="18"/>
      <c r="D66" s="18"/>
      <c r="E66" s="18"/>
    </row>
    <row r="67" spans="1:5" ht="16.5" x14ac:dyDescent="0.15">
      <c r="A67" s="18"/>
      <c r="B67" s="18"/>
      <c r="C67" s="18"/>
      <c r="D67" s="18"/>
      <c r="E67" s="18"/>
    </row>
    <row r="68" spans="1:5" ht="16.5" x14ac:dyDescent="0.15">
      <c r="A68" s="18"/>
      <c r="B68" s="18"/>
      <c r="C68" s="18"/>
      <c r="D68" s="18"/>
      <c r="E68" s="18"/>
    </row>
    <row r="69" spans="1:5" ht="16.5" x14ac:dyDescent="0.15">
      <c r="A69" s="18"/>
      <c r="B69" s="18"/>
      <c r="C69" s="18"/>
      <c r="D69" s="18"/>
      <c r="E69" s="18"/>
    </row>
    <row r="70" spans="1:5" ht="16.5" x14ac:dyDescent="0.15">
      <c r="A70" s="18"/>
      <c r="B70" s="18"/>
      <c r="C70" s="18"/>
      <c r="D70" s="18"/>
      <c r="E70" s="18"/>
    </row>
    <row r="71" spans="1:5" ht="16.5" x14ac:dyDescent="0.15">
      <c r="A71" s="18"/>
      <c r="B71" s="18"/>
      <c r="C71" s="18"/>
      <c r="D71" s="18"/>
      <c r="E71" s="18"/>
    </row>
    <row r="72" spans="1:5" ht="16.5" x14ac:dyDescent="0.15">
      <c r="A72" s="18"/>
      <c r="B72" s="18"/>
      <c r="C72" s="18"/>
      <c r="D72" s="18"/>
      <c r="E72" s="18"/>
    </row>
    <row r="73" spans="1:5" ht="16.5" x14ac:dyDescent="0.15">
      <c r="A73" s="18"/>
      <c r="B73" s="18"/>
      <c r="C73" s="18"/>
      <c r="D73" s="18"/>
      <c r="E73" s="18"/>
    </row>
    <row r="74" spans="1:5" ht="16.5" x14ac:dyDescent="0.15">
      <c r="A74" s="18"/>
      <c r="B74" s="18"/>
      <c r="C74" s="18"/>
      <c r="D74" s="18"/>
      <c r="E74" s="18"/>
    </row>
    <row r="75" spans="1:5" ht="16.5" x14ac:dyDescent="0.15">
      <c r="A75" s="18"/>
      <c r="B75" s="18"/>
      <c r="C75" s="18"/>
      <c r="D75" s="18"/>
      <c r="E75" s="18"/>
    </row>
    <row r="76" spans="1:5" ht="16.5" x14ac:dyDescent="0.15">
      <c r="A76" s="18"/>
      <c r="B76" s="18"/>
      <c r="C76" s="18"/>
      <c r="D76" s="18"/>
      <c r="E76" s="18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zoomScale="70" zoomScaleNormal="70" workbookViewId="0">
      <selection sqref="A1:XFD1048576"/>
    </sheetView>
  </sheetViews>
  <sheetFormatPr defaultColWidth="9" defaultRowHeight="13.5" x14ac:dyDescent="0.15"/>
  <cols>
    <col min="1" max="2" width="24.5" customWidth="1"/>
    <col min="3" max="3" width="25" customWidth="1"/>
    <col min="4" max="4" width="27.125" customWidth="1"/>
    <col min="5" max="5" width="34.25" customWidth="1"/>
    <col min="6" max="6" width="37.125" customWidth="1"/>
    <col min="7" max="7" width="33.75" customWidth="1"/>
    <col min="8" max="8" width="17.875" customWidth="1"/>
  </cols>
  <sheetData>
    <row r="1" spans="1:8" ht="18.75" x14ac:dyDescent="0.15">
      <c r="B1" s="25" t="s">
        <v>90</v>
      </c>
      <c r="C1" s="25"/>
      <c r="D1" s="25"/>
      <c r="E1" s="25"/>
      <c r="F1" s="25"/>
      <c r="G1" s="25"/>
    </row>
    <row r="2" spans="1:8" ht="14.25" x14ac:dyDescent="0.15">
      <c r="A2" s="13"/>
      <c r="B2" s="13" t="s">
        <v>91</v>
      </c>
      <c r="C2" s="13" t="s">
        <v>92</v>
      </c>
      <c r="D2" s="13" t="s">
        <v>77</v>
      </c>
      <c r="E2" s="13" t="s">
        <v>93</v>
      </c>
      <c r="F2" s="13" t="s">
        <v>94</v>
      </c>
      <c r="G2" s="13" t="s">
        <v>95</v>
      </c>
    </row>
    <row r="3" spans="1:8" ht="14.25" x14ac:dyDescent="0.15">
      <c r="A3" s="14" t="s">
        <v>85</v>
      </c>
      <c r="B3" s="13"/>
      <c r="C3" s="13"/>
      <c r="D3" s="13"/>
      <c r="E3" s="13"/>
      <c r="F3" s="13"/>
      <c r="G3" s="13" t="s">
        <v>96</v>
      </c>
    </row>
    <row r="4" spans="1:8" ht="14.25" x14ac:dyDescent="0.15">
      <c r="A4" s="14" t="s">
        <v>79</v>
      </c>
      <c r="B4" s="13"/>
      <c r="C4" s="13"/>
      <c r="D4" s="13"/>
      <c r="E4" s="13" t="s">
        <v>96</v>
      </c>
      <c r="F4" s="13"/>
      <c r="G4" s="13" t="s">
        <v>96</v>
      </c>
    </row>
    <row r="5" spans="1:8" ht="14.25" x14ac:dyDescent="0.15">
      <c r="A5" s="14" t="s">
        <v>75</v>
      </c>
      <c r="C5" s="13"/>
      <c r="D5" s="13" t="s">
        <v>96</v>
      </c>
      <c r="E5" s="13" t="s">
        <v>96</v>
      </c>
      <c r="F5" s="13"/>
      <c r="G5" s="13"/>
    </row>
    <row r="6" spans="1:8" ht="14.25" x14ac:dyDescent="0.15">
      <c r="A6" s="14" t="s">
        <v>97</v>
      </c>
      <c r="C6" s="13"/>
      <c r="D6" s="13" t="s">
        <v>96</v>
      </c>
      <c r="E6" s="13"/>
      <c r="F6" s="13"/>
      <c r="G6" s="13"/>
    </row>
    <row r="10" spans="1:8" x14ac:dyDescent="0.15">
      <c r="B10" s="26" t="s">
        <v>98</v>
      </c>
      <c r="C10" s="27"/>
      <c r="D10" s="27"/>
      <c r="E10" s="27"/>
      <c r="F10" s="27"/>
      <c r="G10" s="27"/>
      <c r="H10" s="27"/>
    </row>
    <row r="11" spans="1:8" ht="14.25" x14ac:dyDescent="0.15">
      <c r="B11" s="13" t="s">
        <v>99</v>
      </c>
      <c r="C11" s="13" t="s">
        <v>100</v>
      </c>
      <c r="D11" s="13" t="s">
        <v>101</v>
      </c>
      <c r="E11" s="13" t="s">
        <v>102</v>
      </c>
      <c r="F11" s="13" t="s">
        <v>103</v>
      </c>
      <c r="G11" s="13" t="s">
        <v>104</v>
      </c>
      <c r="H11" s="13" t="s">
        <v>105</v>
      </c>
    </row>
    <row r="12" spans="1:8" ht="14.25" x14ac:dyDescent="0.15">
      <c r="A12" s="14" t="s">
        <v>106</v>
      </c>
      <c r="C12" s="13"/>
      <c r="D12" s="13" t="s">
        <v>96</v>
      </c>
      <c r="E12" s="13"/>
      <c r="F12" s="13"/>
      <c r="G12" s="13"/>
      <c r="H12" s="13"/>
    </row>
    <row r="13" spans="1:8" ht="14.25" x14ac:dyDescent="0.15">
      <c r="A13" s="14" t="s">
        <v>107</v>
      </c>
      <c r="B13" s="13" t="s">
        <v>96</v>
      </c>
      <c r="C13" s="13"/>
      <c r="D13" s="13"/>
      <c r="E13" s="13"/>
      <c r="F13" s="13"/>
      <c r="G13" s="13"/>
      <c r="H13" s="13"/>
    </row>
    <row r="14" spans="1:8" ht="14.25" x14ac:dyDescent="0.15">
      <c r="A14" s="14" t="s">
        <v>108</v>
      </c>
      <c r="B14" s="13" t="s">
        <v>96</v>
      </c>
      <c r="C14" s="13"/>
      <c r="D14" s="13"/>
      <c r="E14" s="13"/>
      <c r="F14" s="13"/>
      <c r="G14" s="13"/>
      <c r="H14" s="13"/>
    </row>
    <row r="15" spans="1:8" ht="14.25" x14ac:dyDescent="0.15">
      <c r="A15" s="14" t="s">
        <v>109</v>
      </c>
      <c r="B15" s="13" t="s">
        <v>96</v>
      </c>
      <c r="C15" s="13"/>
      <c r="D15" s="13"/>
      <c r="E15" s="13"/>
      <c r="F15" s="13"/>
      <c r="G15" s="13"/>
      <c r="H15" s="13"/>
    </row>
    <row r="16" spans="1:8" ht="14.25" x14ac:dyDescent="0.15">
      <c r="A16" s="14" t="s">
        <v>110</v>
      </c>
      <c r="B16" s="13" t="s">
        <v>96</v>
      </c>
      <c r="C16" s="13"/>
      <c r="D16" s="13" t="s">
        <v>96</v>
      </c>
      <c r="E16" s="13"/>
      <c r="F16" s="13"/>
      <c r="G16" s="13"/>
      <c r="H16" s="13"/>
    </row>
    <row r="17" spans="1:8" ht="14.25" x14ac:dyDescent="0.15">
      <c r="A17" s="14" t="s">
        <v>111</v>
      </c>
      <c r="B17" s="13" t="s">
        <v>96</v>
      </c>
      <c r="C17" s="13"/>
      <c r="D17" s="13"/>
      <c r="E17" s="13"/>
      <c r="F17" s="13"/>
      <c r="G17" s="13"/>
      <c r="H17" s="13"/>
    </row>
    <row r="18" spans="1:8" ht="14.25" x14ac:dyDescent="0.15">
      <c r="A18" s="14" t="s">
        <v>112</v>
      </c>
      <c r="B18" s="13" t="s">
        <v>96</v>
      </c>
      <c r="C18" s="13"/>
      <c r="D18" s="13"/>
      <c r="E18" s="13"/>
      <c r="F18" s="13"/>
      <c r="G18" s="13"/>
      <c r="H18" s="13"/>
    </row>
    <row r="19" spans="1:8" ht="14.25" x14ac:dyDescent="0.15">
      <c r="A19" s="14" t="s">
        <v>113</v>
      </c>
      <c r="B19" s="13" t="s">
        <v>96</v>
      </c>
      <c r="C19" s="13"/>
      <c r="D19" s="13"/>
      <c r="E19" s="13"/>
      <c r="F19" s="13"/>
      <c r="G19" s="13"/>
      <c r="H19" s="13"/>
    </row>
    <row r="20" spans="1:8" ht="14.25" x14ac:dyDescent="0.15">
      <c r="A20" s="14" t="s">
        <v>114</v>
      </c>
      <c r="B20" s="13" t="s">
        <v>96</v>
      </c>
      <c r="C20" s="13"/>
      <c r="D20" s="13"/>
      <c r="E20" s="13"/>
      <c r="F20" s="13"/>
      <c r="G20" s="13"/>
      <c r="H20" s="13"/>
    </row>
    <row r="21" spans="1:8" ht="14.25" x14ac:dyDescent="0.15">
      <c r="A21" s="14" t="s">
        <v>115</v>
      </c>
      <c r="B21" s="13" t="s">
        <v>96</v>
      </c>
      <c r="C21" s="13"/>
      <c r="D21" s="13"/>
      <c r="E21" s="13"/>
      <c r="F21" s="13"/>
      <c r="G21" s="13"/>
      <c r="H21" s="13"/>
    </row>
    <row r="22" spans="1:8" ht="14.25" x14ac:dyDescent="0.15">
      <c r="A22" s="14" t="s">
        <v>116</v>
      </c>
      <c r="B22" s="13" t="s">
        <v>96</v>
      </c>
      <c r="C22" s="13"/>
      <c r="D22" s="13" t="s">
        <v>96</v>
      </c>
      <c r="E22" s="13" t="s">
        <v>96</v>
      </c>
      <c r="F22" s="13" t="s">
        <v>96</v>
      </c>
      <c r="G22" s="13" t="s">
        <v>96</v>
      </c>
      <c r="H22" s="13"/>
    </row>
    <row r="23" spans="1:8" ht="14.25" x14ac:dyDescent="0.15">
      <c r="A23" s="14" t="s">
        <v>117</v>
      </c>
      <c r="B23" s="13" t="s">
        <v>96</v>
      </c>
      <c r="C23" s="13"/>
      <c r="D23" s="13"/>
      <c r="E23" s="13" t="s">
        <v>96</v>
      </c>
      <c r="F23" s="13" t="s">
        <v>96</v>
      </c>
      <c r="G23" s="13" t="s">
        <v>96</v>
      </c>
      <c r="H23" s="13"/>
    </row>
    <row r="24" spans="1:8" ht="14.25" x14ac:dyDescent="0.15">
      <c r="A24" s="14" t="s">
        <v>118</v>
      </c>
      <c r="E24" s="13" t="s">
        <v>96</v>
      </c>
      <c r="F24" s="13"/>
      <c r="G24" s="13" t="s">
        <v>96</v>
      </c>
      <c r="H24" s="13"/>
    </row>
    <row r="25" spans="1:8" ht="14.25" x14ac:dyDescent="0.15">
      <c r="A25" s="14" t="s">
        <v>119</v>
      </c>
      <c r="E25" s="13" t="s">
        <v>96</v>
      </c>
      <c r="F25" s="13"/>
      <c r="G25" s="13" t="s">
        <v>96</v>
      </c>
      <c r="H25" s="13"/>
    </row>
    <row r="26" spans="1:8" ht="14.25" x14ac:dyDescent="0.15">
      <c r="A26" s="14" t="s">
        <v>120</v>
      </c>
      <c r="B26" s="13" t="s">
        <v>96</v>
      </c>
      <c r="C26" s="13"/>
      <c r="D26" s="13"/>
      <c r="E26" s="13"/>
      <c r="F26" s="13"/>
      <c r="G26" s="13"/>
      <c r="H26" s="13"/>
    </row>
    <row r="27" spans="1:8" ht="14.25" x14ac:dyDescent="0.15">
      <c r="A27" s="14" t="s">
        <v>79</v>
      </c>
      <c r="E27" s="13" t="s">
        <v>96</v>
      </c>
      <c r="F27" s="13"/>
      <c r="G27" s="13"/>
      <c r="H27" s="13"/>
    </row>
    <row r="28" spans="1:8" ht="14.25" x14ac:dyDescent="0.15">
      <c r="A28" s="14" t="s">
        <v>75</v>
      </c>
      <c r="C28" s="13"/>
      <c r="D28" s="13" t="s">
        <v>96</v>
      </c>
      <c r="E28" s="13" t="s">
        <v>96</v>
      </c>
      <c r="F28" s="13" t="s">
        <v>96</v>
      </c>
      <c r="G28" s="13"/>
      <c r="H28" s="13"/>
    </row>
    <row r="29" spans="1:8" ht="14.25" x14ac:dyDescent="0.15">
      <c r="A29" s="14" t="s">
        <v>121</v>
      </c>
      <c r="B29" s="13" t="s">
        <v>96</v>
      </c>
      <c r="C29" s="13"/>
      <c r="D29" s="13"/>
      <c r="E29" s="13"/>
      <c r="F29" s="13"/>
      <c r="G29" s="13"/>
      <c r="H29" s="13"/>
    </row>
    <row r="30" spans="1:8" ht="14.25" x14ac:dyDescent="0.15">
      <c r="A30" s="14" t="s">
        <v>122</v>
      </c>
      <c r="B30" s="13"/>
      <c r="C30" s="13"/>
      <c r="D30" s="13" t="s">
        <v>96</v>
      </c>
      <c r="E30" s="13" t="s">
        <v>96</v>
      </c>
      <c r="F30" s="13" t="s">
        <v>96</v>
      </c>
      <c r="G30" s="13"/>
      <c r="H30" s="13"/>
    </row>
    <row r="31" spans="1:8" ht="14.25" x14ac:dyDescent="0.15">
      <c r="B31" s="13"/>
      <c r="C31" s="13"/>
      <c r="D31" s="13"/>
      <c r="E31" s="13"/>
      <c r="F31" s="13"/>
      <c r="G31" s="13"/>
      <c r="H31" s="13"/>
    </row>
    <row r="32" spans="1:8" ht="14.25" x14ac:dyDescent="0.15">
      <c r="B32" s="13"/>
      <c r="C32" s="13"/>
      <c r="D32" s="13"/>
      <c r="E32" s="13"/>
      <c r="F32" s="13"/>
      <c r="G32" s="13"/>
      <c r="H32" s="13"/>
    </row>
    <row r="33" spans="2:8" ht="14.25" x14ac:dyDescent="0.15">
      <c r="B33" s="13"/>
      <c r="C33" s="13"/>
      <c r="D33" s="13"/>
      <c r="E33" s="13"/>
      <c r="F33" s="13"/>
      <c r="G33" s="13"/>
      <c r="H33" s="13"/>
    </row>
    <row r="34" spans="2:8" ht="14.25" x14ac:dyDescent="0.15">
      <c r="B34" s="13"/>
      <c r="C34" s="13"/>
      <c r="D34" s="13"/>
      <c r="E34" s="13"/>
      <c r="F34" s="13"/>
      <c r="G34" s="13"/>
      <c r="H34" s="13"/>
    </row>
    <row r="35" spans="2:8" ht="14.25" x14ac:dyDescent="0.15">
      <c r="B35" s="13"/>
      <c r="C35" s="13"/>
      <c r="D35" s="13"/>
      <c r="E35" s="13"/>
      <c r="F35" s="13"/>
      <c r="G35" s="13"/>
      <c r="H35" s="13"/>
    </row>
    <row r="36" spans="2:8" ht="14.25" x14ac:dyDescent="0.15">
      <c r="B36" s="13"/>
      <c r="C36" s="13"/>
      <c r="D36" s="13"/>
      <c r="E36" s="13"/>
      <c r="F36" s="13"/>
      <c r="G36" s="13"/>
      <c r="H36" s="13"/>
    </row>
    <row r="37" spans="2:8" ht="14.25" x14ac:dyDescent="0.15">
      <c r="B37" s="13"/>
      <c r="C37" s="13"/>
      <c r="D37" s="13"/>
      <c r="E37" s="13"/>
      <c r="F37" s="13"/>
      <c r="G37" s="13"/>
      <c r="H37" s="13"/>
    </row>
    <row r="38" spans="2:8" ht="14.25" x14ac:dyDescent="0.15">
      <c r="B38" s="13"/>
      <c r="C38" s="13"/>
      <c r="D38" s="13"/>
      <c r="E38" s="13"/>
      <c r="F38" s="13"/>
      <c r="G38" s="13"/>
      <c r="H38" s="13"/>
    </row>
    <row r="39" spans="2:8" ht="14.25" x14ac:dyDescent="0.15">
      <c r="B39" s="13"/>
      <c r="C39" s="13"/>
      <c r="D39" s="13"/>
      <c r="E39" s="13"/>
      <c r="F39" s="13"/>
      <c r="G39" s="13"/>
      <c r="H39" s="13"/>
    </row>
  </sheetData>
  <mergeCells count="2">
    <mergeCell ref="B1:G1"/>
    <mergeCell ref="B10:H10"/>
  </mergeCells>
  <phoneticPr fontId="1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9"/>
  <sheetViews>
    <sheetView zoomScale="85" zoomScaleNormal="85" workbookViewId="0">
      <selection activeCell="C47" sqref="C47"/>
    </sheetView>
  </sheetViews>
  <sheetFormatPr defaultColWidth="9" defaultRowHeight="13.5" x14ac:dyDescent="0.15"/>
  <cols>
    <col min="1" max="2" width="24.5" customWidth="1"/>
    <col min="3" max="3" width="25" customWidth="1"/>
    <col min="4" max="4" width="27.125" customWidth="1"/>
    <col min="5" max="5" width="34.25" customWidth="1"/>
    <col min="6" max="6" width="37.125" customWidth="1"/>
    <col min="7" max="7" width="33.75" customWidth="1"/>
    <col min="8" max="8" width="36.625" customWidth="1"/>
    <col min="9" max="9" width="19.5" customWidth="1"/>
    <col min="10" max="10" width="30.875" customWidth="1"/>
    <col min="11" max="11" width="24.125" customWidth="1"/>
    <col min="12" max="12" width="18.625" customWidth="1"/>
    <col min="13" max="13" width="17.25" customWidth="1"/>
    <col min="14" max="14" width="20.25" customWidth="1"/>
  </cols>
  <sheetData>
    <row r="1" spans="1:14" ht="18.75" x14ac:dyDescent="0.15">
      <c r="B1" s="11" t="s">
        <v>90</v>
      </c>
      <c r="C1" s="11"/>
      <c r="D1" s="11"/>
      <c r="E1" s="11"/>
      <c r="F1" s="11"/>
      <c r="G1" s="11"/>
      <c r="H1" s="12" t="s">
        <v>98</v>
      </c>
      <c r="I1" s="15"/>
      <c r="J1" s="15"/>
      <c r="K1" s="15"/>
      <c r="L1" s="15"/>
      <c r="M1" s="15"/>
      <c r="N1" s="15"/>
    </row>
    <row r="2" spans="1:14" ht="14.25" x14ac:dyDescent="0.15">
      <c r="B2" s="13" t="s">
        <v>91</v>
      </c>
      <c r="C2" s="13" t="s">
        <v>92</v>
      </c>
      <c r="D2" s="13" t="s">
        <v>77</v>
      </c>
      <c r="E2" s="13" t="s">
        <v>93</v>
      </c>
      <c r="F2" s="13" t="s">
        <v>94</v>
      </c>
      <c r="G2" s="13" t="s">
        <v>95</v>
      </c>
      <c r="H2" s="13" t="s">
        <v>99</v>
      </c>
      <c r="I2" s="13" t="s">
        <v>100</v>
      </c>
      <c r="J2" s="13" t="s">
        <v>101</v>
      </c>
      <c r="K2" s="13" t="s">
        <v>102</v>
      </c>
      <c r="L2" s="13" t="s">
        <v>103</v>
      </c>
      <c r="M2" s="13" t="s">
        <v>104</v>
      </c>
      <c r="N2" s="13" t="s">
        <v>105</v>
      </c>
    </row>
    <row r="3" spans="1:14" ht="14.25" x14ac:dyDescent="0.15">
      <c r="A3" s="14" t="s">
        <v>106</v>
      </c>
      <c r="I3" s="13"/>
      <c r="J3" s="13" t="s">
        <v>96</v>
      </c>
      <c r="K3" s="13"/>
      <c r="L3" s="13"/>
      <c r="M3" s="13"/>
      <c r="N3" s="13"/>
    </row>
    <row r="4" spans="1:14" ht="14.25" x14ac:dyDescent="0.15">
      <c r="A4" s="14" t="s">
        <v>107</v>
      </c>
      <c r="H4" s="13" t="s">
        <v>96</v>
      </c>
      <c r="I4" s="13"/>
      <c r="J4" s="13"/>
      <c r="K4" s="13"/>
      <c r="L4" s="13"/>
      <c r="M4" s="13"/>
      <c r="N4" s="13"/>
    </row>
    <row r="5" spans="1:14" ht="14.25" x14ac:dyDescent="0.15">
      <c r="A5" s="14" t="s">
        <v>108</v>
      </c>
      <c r="H5" s="13" t="s">
        <v>96</v>
      </c>
      <c r="I5" s="13"/>
      <c r="J5" s="13"/>
      <c r="K5" s="13"/>
      <c r="L5" s="13"/>
      <c r="M5" s="13"/>
      <c r="N5" s="13"/>
    </row>
    <row r="6" spans="1:14" ht="14.25" x14ac:dyDescent="0.15">
      <c r="A6" s="14" t="s">
        <v>109</v>
      </c>
      <c r="H6" s="13" t="s">
        <v>96</v>
      </c>
      <c r="I6" s="13"/>
      <c r="J6" s="13"/>
      <c r="K6" s="13"/>
      <c r="L6" s="13"/>
      <c r="M6" s="13"/>
      <c r="N6" s="13"/>
    </row>
    <row r="7" spans="1:14" ht="14.25" x14ac:dyDescent="0.15">
      <c r="A7" s="14" t="s">
        <v>110</v>
      </c>
      <c r="H7" s="13" t="s">
        <v>96</v>
      </c>
      <c r="I7" s="13"/>
      <c r="J7" s="13" t="s">
        <v>96</v>
      </c>
      <c r="K7" s="13"/>
      <c r="L7" s="13"/>
      <c r="M7" s="13"/>
      <c r="N7" s="13"/>
    </row>
    <row r="8" spans="1:14" ht="14.25" x14ac:dyDescent="0.15">
      <c r="A8" s="14" t="s">
        <v>111</v>
      </c>
      <c r="H8" s="13" t="s">
        <v>96</v>
      </c>
      <c r="I8" s="13"/>
      <c r="J8" s="13"/>
      <c r="K8" s="13"/>
      <c r="L8" s="13"/>
      <c r="M8" s="13"/>
      <c r="N8" s="13"/>
    </row>
    <row r="9" spans="1:14" ht="14.25" x14ac:dyDescent="0.15">
      <c r="A9" s="14" t="s">
        <v>112</v>
      </c>
      <c r="H9" s="13" t="s">
        <v>96</v>
      </c>
      <c r="I9" s="13"/>
      <c r="J9" s="13"/>
      <c r="K9" s="13"/>
      <c r="L9" s="13"/>
      <c r="M9" s="13"/>
      <c r="N9" s="13"/>
    </row>
    <row r="10" spans="1:14" ht="14.25" x14ac:dyDescent="0.15">
      <c r="A10" s="14" t="s">
        <v>113</v>
      </c>
      <c r="H10" s="13" t="s">
        <v>96</v>
      </c>
      <c r="I10" s="13"/>
      <c r="J10" s="13"/>
      <c r="K10" s="13"/>
      <c r="L10" s="13"/>
      <c r="M10" s="13"/>
      <c r="N10" s="13"/>
    </row>
    <row r="11" spans="1:14" ht="14.25" x14ac:dyDescent="0.15">
      <c r="A11" s="14" t="s">
        <v>114</v>
      </c>
      <c r="H11" s="13" t="s">
        <v>96</v>
      </c>
      <c r="I11" s="13"/>
      <c r="J11" s="13"/>
      <c r="K11" s="13"/>
      <c r="L11" s="13"/>
      <c r="M11" s="13"/>
      <c r="N11" s="13"/>
    </row>
    <row r="12" spans="1:14" ht="14.25" x14ac:dyDescent="0.15">
      <c r="A12" s="14" t="s">
        <v>115</v>
      </c>
      <c r="H12" s="13" t="s">
        <v>96</v>
      </c>
      <c r="I12" s="13"/>
      <c r="J12" s="13"/>
      <c r="K12" s="13"/>
      <c r="L12" s="13"/>
      <c r="M12" s="13"/>
      <c r="N12" s="13"/>
    </row>
    <row r="13" spans="1:14" ht="14.25" x14ac:dyDescent="0.15">
      <c r="A13" s="14" t="s">
        <v>116</v>
      </c>
      <c r="H13" s="13" t="s">
        <v>96</v>
      </c>
      <c r="I13" s="13"/>
      <c r="J13" s="13" t="s">
        <v>96</v>
      </c>
      <c r="K13" s="13" t="s">
        <v>96</v>
      </c>
      <c r="L13" s="13" t="s">
        <v>96</v>
      </c>
      <c r="M13" s="13" t="s">
        <v>96</v>
      </c>
      <c r="N13" s="13"/>
    </row>
    <row r="14" spans="1:14" ht="14.25" x14ac:dyDescent="0.15">
      <c r="A14" s="14" t="s">
        <v>117</v>
      </c>
      <c r="H14" s="13" t="s">
        <v>96</v>
      </c>
      <c r="I14" s="13"/>
      <c r="J14" s="13"/>
      <c r="K14" s="13" t="s">
        <v>96</v>
      </c>
      <c r="L14" s="13" t="s">
        <v>96</v>
      </c>
      <c r="M14" s="13" t="s">
        <v>96</v>
      </c>
      <c r="N14" s="13"/>
    </row>
    <row r="15" spans="1:14" ht="14.25" x14ac:dyDescent="0.15">
      <c r="A15" s="14" t="s">
        <v>118</v>
      </c>
      <c r="K15" s="13" t="s">
        <v>96</v>
      </c>
      <c r="L15" s="13"/>
      <c r="M15" s="13" t="s">
        <v>96</v>
      </c>
      <c r="N15" s="13"/>
    </row>
    <row r="16" spans="1:14" ht="14.25" x14ac:dyDescent="0.15">
      <c r="A16" s="14" t="s">
        <v>119</v>
      </c>
      <c r="K16" s="13" t="s">
        <v>96</v>
      </c>
      <c r="L16" s="13"/>
      <c r="M16" s="13" t="s">
        <v>96</v>
      </c>
      <c r="N16" s="13"/>
    </row>
    <row r="17" spans="1:14" ht="14.25" x14ac:dyDescent="0.15">
      <c r="A17" s="14" t="s">
        <v>120</v>
      </c>
      <c r="H17" s="13" t="s">
        <v>96</v>
      </c>
      <c r="I17" s="13"/>
      <c r="J17" s="13"/>
      <c r="K17" s="13"/>
      <c r="L17" s="13"/>
      <c r="M17" s="13"/>
      <c r="N17" s="13"/>
    </row>
    <row r="18" spans="1:14" ht="14.25" x14ac:dyDescent="0.15">
      <c r="A18" s="14" t="s">
        <v>85</v>
      </c>
      <c r="B18" s="13"/>
      <c r="C18" s="13"/>
      <c r="D18" s="13"/>
      <c r="E18" s="13"/>
      <c r="F18" s="13"/>
      <c r="G18" s="13" t="s">
        <v>96</v>
      </c>
    </row>
    <row r="19" spans="1:14" ht="14.25" x14ac:dyDescent="0.15">
      <c r="A19" s="14" t="s">
        <v>79</v>
      </c>
      <c r="B19" s="13"/>
      <c r="C19" s="13"/>
      <c r="D19" s="13"/>
      <c r="E19" s="13" t="s">
        <v>96</v>
      </c>
      <c r="F19" s="13"/>
      <c r="G19" s="13" t="s">
        <v>96</v>
      </c>
      <c r="K19" s="13" t="s">
        <v>96</v>
      </c>
      <c r="L19" s="13"/>
      <c r="M19" s="13"/>
      <c r="N19" s="13"/>
    </row>
    <row r="20" spans="1:14" ht="14.25" x14ac:dyDescent="0.15">
      <c r="A20" s="14" t="s">
        <v>75</v>
      </c>
      <c r="C20" s="13"/>
      <c r="D20" s="13" t="s">
        <v>96</v>
      </c>
      <c r="E20" s="13" t="s">
        <v>96</v>
      </c>
      <c r="F20" s="13"/>
      <c r="G20" s="13"/>
      <c r="I20" s="13"/>
      <c r="J20" s="13" t="s">
        <v>96</v>
      </c>
      <c r="K20" s="13" t="s">
        <v>96</v>
      </c>
      <c r="L20" s="13" t="s">
        <v>96</v>
      </c>
      <c r="M20" s="13"/>
      <c r="N20" s="13"/>
    </row>
    <row r="21" spans="1:14" ht="14.25" x14ac:dyDescent="0.15">
      <c r="A21" s="14" t="s">
        <v>97</v>
      </c>
      <c r="C21" s="13"/>
      <c r="D21" s="13" t="s">
        <v>96</v>
      </c>
      <c r="E21" s="13"/>
      <c r="F21" s="13"/>
      <c r="G21" s="13"/>
    </row>
    <row r="22" spans="1:14" ht="14.25" x14ac:dyDescent="0.15">
      <c r="A22" s="14" t="s">
        <v>121</v>
      </c>
      <c r="H22" s="13" t="s">
        <v>96</v>
      </c>
      <c r="I22" s="13"/>
      <c r="J22" s="13"/>
      <c r="K22" s="13"/>
      <c r="L22" s="13"/>
      <c r="M22" s="13"/>
      <c r="N22" s="13"/>
    </row>
    <row r="23" spans="1:14" ht="14.25" x14ac:dyDescent="0.15">
      <c r="A23" s="14" t="s">
        <v>122</v>
      </c>
      <c r="H23" s="13"/>
      <c r="I23" s="13"/>
      <c r="J23" s="13" t="s">
        <v>96</v>
      </c>
      <c r="K23" s="13" t="s">
        <v>96</v>
      </c>
      <c r="L23" s="13" t="s">
        <v>96</v>
      </c>
      <c r="M23" s="13"/>
      <c r="N23" s="13"/>
    </row>
    <row r="33" spans="2:7" ht="14.25" x14ac:dyDescent="0.15">
      <c r="B33" s="13"/>
      <c r="C33" s="13"/>
      <c r="D33" s="13"/>
      <c r="E33" s="13"/>
      <c r="F33" s="13"/>
      <c r="G33" s="13"/>
    </row>
    <row r="34" spans="2:7" ht="14.25" x14ac:dyDescent="0.15">
      <c r="B34" s="13"/>
      <c r="C34" s="13"/>
      <c r="D34" s="13"/>
      <c r="E34" s="13"/>
      <c r="F34" s="13"/>
      <c r="G34" s="13"/>
    </row>
    <row r="35" spans="2:7" ht="14.25" x14ac:dyDescent="0.15">
      <c r="B35" s="13"/>
      <c r="C35" s="13"/>
      <c r="D35" s="13"/>
      <c r="E35" s="13"/>
      <c r="F35" s="13"/>
      <c r="G35" s="13"/>
    </row>
    <row r="36" spans="2:7" ht="14.25" x14ac:dyDescent="0.15">
      <c r="B36" s="13"/>
      <c r="C36" s="13"/>
      <c r="D36" s="13"/>
      <c r="E36" s="13"/>
      <c r="F36" s="13"/>
      <c r="G36" s="13"/>
    </row>
    <row r="37" spans="2:7" ht="14.25" x14ac:dyDescent="0.15">
      <c r="B37" s="13"/>
      <c r="C37" s="13"/>
      <c r="D37" s="13"/>
      <c r="E37" s="13"/>
      <c r="F37" s="13"/>
      <c r="G37" s="13"/>
    </row>
    <row r="38" spans="2:7" ht="14.25" x14ac:dyDescent="0.15">
      <c r="B38" s="13"/>
      <c r="C38" s="13"/>
      <c r="D38" s="13"/>
      <c r="E38" s="13"/>
      <c r="F38" s="13"/>
      <c r="G38" s="13"/>
    </row>
    <row r="39" spans="2:7" ht="14.25" x14ac:dyDescent="0.15">
      <c r="B39" s="13"/>
      <c r="C39" s="13"/>
      <c r="D39" s="13"/>
      <c r="E39" s="13"/>
      <c r="F39" s="13"/>
      <c r="G39" s="13"/>
    </row>
  </sheetData>
  <phoneticPr fontId="1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4"/>
  <sheetViews>
    <sheetView topLeftCell="G1" workbookViewId="0">
      <selection activeCell="A2" sqref="A1:W14"/>
    </sheetView>
  </sheetViews>
  <sheetFormatPr defaultColWidth="8.875" defaultRowHeight="16.5" x14ac:dyDescent="0.15"/>
  <cols>
    <col min="1" max="1" width="19.375" style="8" customWidth="1"/>
    <col min="2" max="2" width="38.625" style="8" customWidth="1"/>
    <col min="3" max="16384" width="8.875" style="8"/>
  </cols>
  <sheetData>
    <row r="1" spans="1:23" ht="18" x14ac:dyDescent="0.15">
      <c r="B1" s="9" t="s">
        <v>123</v>
      </c>
      <c r="C1" s="9" t="s">
        <v>106</v>
      </c>
      <c r="D1" s="9" t="s">
        <v>107</v>
      </c>
      <c r="E1" s="9" t="s">
        <v>108</v>
      </c>
      <c r="F1" s="9" t="s">
        <v>109</v>
      </c>
      <c r="G1" s="9" t="s">
        <v>110</v>
      </c>
      <c r="H1" s="9" t="s">
        <v>111</v>
      </c>
      <c r="I1" s="9" t="s">
        <v>112</v>
      </c>
      <c r="J1" s="9" t="s">
        <v>113</v>
      </c>
      <c r="K1" s="9" t="s">
        <v>114</v>
      </c>
      <c r="L1" s="9" t="s">
        <v>115</v>
      </c>
      <c r="M1" s="9" t="s">
        <v>116</v>
      </c>
      <c r="N1" s="9" t="s">
        <v>117</v>
      </c>
      <c r="O1" s="9" t="s">
        <v>118</v>
      </c>
      <c r="P1" s="9" t="s">
        <v>119</v>
      </c>
      <c r="Q1" s="9" t="s">
        <v>120</v>
      </c>
      <c r="R1" s="9" t="s">
        <v>85</v>
      </c>
      <c r="S1" s="9" t="s">
        <v>79</v>
      </c>
      <c r="T1" s="9" t="s">
        <v>75</v>
      </c>
      <c r="U1" s="9" t="s">
        <v>97</v>
      </c>
      <c r="V1" s="9" t="s">
        <v>121</v>
      </c>
      <c r="W1" s="9" t="s">
        <v>122</v>
      </c>
    </row>
    <row r="2" spans="1:23" ht="17.45" customHeight="1" x14ac:dyDescent="0.15">
      <c r="A2" s="28" t="s">
        <v>90</v>
      </c>
      <c r="B2" s="10" t="s">
        <v>91</v>
      </c>
      <c r="R2" s="10"/>
      <c r="S2" s="10"/>
    </row>
    <row r="3" spans="1:23" ht="17.45" customHeight="1" x14ac:dyDescent="0.15">
      <c r="A3" s="28"/>
      <c r="B3" s="10" t="s">
        <v>92</v>
      </c>
      <c r="R3" s="10"/>
      <c r="S3" s="10"/>
      <c r="T3" s="10"/>
      <c r="U3" s="10"/>
    </row>
    <row r="4" spans="1:23" ht="17.45" customHeight="1" x14ac:dyDescent="0.15">
      <c r="A4" s="28"/>
      <c r="B4" s="10" t="s">
        <v>77</v>
      </c>
      <c r="R4" s="9"/>
      <c r="S4" s="9"/>
      <c r="T4" s="9" t="s">
        <v>96</v>
      </c>
      <c r="U4" s="9" t="s">
        <v>96</v>
      </c>
    </row>
    <row r="5" spans="1:23" ht="17.45" customHeight="1" x14ac:dyDescent="0.15">
      <c r="A5" s="28"/>
      <c r="B5" s="10" t="s">
        <v>93</v>
      </c>
      <c r="R5" s="9"/>
      <c r="S5" s="9" t="s">
        <v>96</v>
      </c>
      <c r="T5" s="9" t="s">
        <v>96</v>
      </c>
      <c r="U5" s="9"/>
    </row>
    <row r="6" spans="1:23" ht="17.45" customHeight="1" x14ac:dyDescent="0.15">
      <c r="A6" s="28"/>
      <c r="B6" s="10" t="s">
        <v>94</v>
      </c>
      <c r="R6" s="9"/>
      <c r="S6" s="9"/>
      <c r="T6" s="9"/>
      <c r="U6" s="9"/>
    </row>
    <row r="7" spans="1:23" ht="17.45" customHeight="1" x14ac:dyDescent="0.15">
      <c r="A7" s="28"/>
      <c r="B7" s="10" t="s">
        <v>95</v>
      </c>
      <c r="R7" s="9" t="s">
        <v>96</v>
      </c>
      <c r="S7" s="9" t="s">
        <v>96</v>
      </c>
      <c r="T7" s="9"/>
      <c r="U7" s="9"/>
    </row>
    <row r="8" spans="1:23" ht="15.6" customHeight="1" x14ac:dyDescent="0.15">
      <c r="A8" s="28" t="s">
        <v>98</v>
      </c>
      <c r="B8" s="10" t="s">
        <v>99</v>
      </c>
      <c r="D8" s="10" t="s">
        <v>96</v>
      </c>
      <c r="E8" s="10" t="s">
        <v>96</v>
      </c>
      <c r="F8" s="10" t="s">
        <v>96</v>
      </c>
      <c r="G8" s="10" t="s">
        <v>96</v>
      </c>
      <c r="H8" s="10" t="s">
        <v>96</v>
      </c>
      <c r="I8" s="10" t="s">
        <v>96</v>
      </c>
      <c r="J8" s="10" t="s">
        <v>96</v>
      </c>
      <c r="K8" s="10" t="s">
        <v>96</v>
      </c>
      <c r="L8" s="10" t="s">
        <v>96</v>
      </c>
      <c r="M8" s="10" t="s">
        <v>96</v>
      </c>
      <c r="N8" s="10" t="s">
        <v>96</v>
      </c>
      <c r="Q8" s="10" t="s">
        <v>96</v>
      </c>
      <c r="V8" s="10" t="s">
        <v>96</v>
      </c>
      <c r="W8" s="10"/>
    </row>
    <row r="9" spans="1:23" ht="15.6" customHeight="1" x14ac:dyDescent="0.15">
      <c r="A9" s="28"/>
      <c r="B9" s="10" t="s">
        <v>100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Q9" s="10"/>
      <c r="T9" s="10"/>
      <c r="V9" s="10"/>
      <c r="W9" s="10"/>
    </row>
    <row r="10" spans="1:23" ht="15.6" customHeight="1" x14ac:dyDescent="0.15">
      <c r="A10" s="28"/>
      <c r="B10" s="10" t="s">
        <v>101</v>
      </c>
      <c r="C10" s="10" t="s">
        <v>96</v>
      </c>
      <c r="D10" s="10"/>
      <c r="E10" s="10"/>
      <c r="F10" s="10"/>
      <c r="G10" s="10" t="s">
        <v>96</v>
      </c>
      <c r="H10" s="10"/>
      <c r="I10" s="10"/>
      <c r="J10" s="10"/>
      <c r="K10" s="10"/>
      <c r="L10" s="10"/>
      <c r="M10" s="10" t="s">
        <v>96</v>
      </c>
      <c r="N10" s="10"/>
      <c r="Q10" s="10"/>
      <c r="T10" s="10" t="s">
        <v>96</v>
      </c>
      <c r="V10" s="10"/>
      <c r="W10" s="10" t="s">
        <v>96</v>
      </c>
    </row>
    <row r="11" spans="1:23" ht="15.6" customHeight="1" x14ac:dyDescent="0.15">
      <c r="A11" s="28"/>
      <c r="B11" s="10" t="s">
        <v>102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96</v>
      </c>
      <c r="N11" s="10" t="s">
        <v>96</v>
      </c>
      <c r="O11" s="10" t="s">
        <v>96</v>
      </c>
      <c r="P11" s="10" t="s">
        <v>96</v>
      </c>
      <c r="Q11" s="10"/>
      <c r="S11" s="10" t="s">
        <v>96</v>
      </c>
      <c r="T11" s="10" t="s">
        <v>96</v>
      </c>
      <c r="V11" s="10"/>
      <c r="W11" s="10" t="s">
        <v>96</v>
      </c>
    </row>
    <row r="12" spans="1:23" ht="15.6" customHeight="1" x14ac:dyDescent="0.15">
      <c r="A12" s="28"/>
      <c r="B12" s="10" t="s">
        <v>103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96</v>
      </c>
      <c r="N12" s="10" t="s">
        <v>96</v>
      </c>
      <c r="O12" s="10"/>
      <c r="P12" s="10"/>
      <c r="Q12" s="10"/>
      <c r="S12" s="10"/>
      <c r="T12" s="10" t="s">
        <v>96</v>
      </c>
      <c r="V12" s="10"/>
      <c r="W12" s="10" t="s">
        <v>96</v>
      </c>
    </row>
    <row r="13" spans="1:23" ht="15.6" customHeight="1" x14ac:dyDescent="0.15">
      <c r="A13" s="28"/>
      <c r="B13" s="10" t="s">
        <v>104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96</v>
      </c>
      <c r="N13" s="10" t="s">
        <v>96</v>
      </c>
      <c r="O13" s="10" t="s">
        <v>96</v>
      </c>
      <c r="P13" s="10" t="s">
        <v>96</v>
      </c>
      <c r="Q13" s="10"/>
      <c r="S13" s="10"/>
      <c r="T13" s="10"/>
      <c r="V13" s="10"/>
      <c r="W13" s="10"/>
    </row>
    <row r="14" spans="1:23" ht="17.45" customHeight="1" x14ac:dyDescent="0.15">
      <c r="A14" s="28"/>
      <c r="B14" s="10" t="s">
        <v>105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S14" s="10"/>
      <c r="T14" s="10"/>
      <c r="V14" s="10"/>
      <c r="W14" s="10"/>
    </row>
  </sheetData>
  <mergeCells count="2">
    <mergeCell ref="A2:A7"/>
    <mergeCell ref="A8:A14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1F70-8C09-4357-ACC5-62C146CE5A32}">
  <dimension ref="A1:O14"/>
  <sheetViews>
    <sheetView zoomScale="85" zoomScaleNormal="85" workbookViewId="0">
      <selection activeCell="N37" sqref="N37"/>
    </sheetView>
  </sheetViews>
  <sheetFormatPr defaultRowHeight="13.5" x14ac:dyDescent="0.15"/>
  <cols>
    <col min="1" max="1" width="19" customWidth="1"/>
    <col min="2" max="2" width="30.5" customWidth="1"/>
    <col min="3" max="4" width="9" customWidth="1"/>
  </cols>
  <sheetData>
    <row r="1" spans="1:15" ht="18" x14ac:dyDescent="0.15">
      <c r="A1" s="8"/>
      <c r="B1" s="9" t="s">
        <v>123</v>
      </c>
      <c r="C1" s="9" t="s">
        <v>106</v>
      </c>
      <c r="D1" s="37" t="s">
        <v>164</v>
      </c>
      <c r="E1" s="9" t="s">
        <v>110</v>
      </c>
      <c r="F1" s="37" t="s">
        <v>165</v>
      </c>
      <c r="G1" s="9" t="s">
        <v>116</v>
      </c>
      <c r="H1" s="9" t="s">
        <v>117</v>
      </c>
      <c r="I1" s="9" t="s">
        <v>120</v>
      </c>
      <c r="J1" s="9" t="s">
        <v>85</v>
      </c>
      <c r="K1" s="9" t="s">
        <v>79</v>
      </c>
      <c r="L1" s="9" t="s">
        <v>75</v>
      </c>
      <c r="M1" s="9" t="s">
        <v>97</v>
      </c>
      <c r="N1" s="9" t="s">
        <v>121</v>
      </c>
      <c r="O1" s="9" t="s">
        <v>122</v>
      </c>
    </row>
    <row r="2" spans="1:15" ht="17.25" x14ac:dyDescent="0.15">
      <c r="A2" s="29" t="s">
        <v>90</v>
      </c>
      <c r="B2" s="30" t="s">
        <v>91</v>
      </c>
      <c r="C2" s="31"/>
      <c r="D2" s="31"/>
      <c r="E2" s="31"/>
      <c r="F2" s="31"/>
      <c r="G2" s="31"/>
      <c r="H2" s="31"/>
      <c r="I2" s="31"/>
      <c r="J2" s="30"/>
      <c r="K2" s="30"/>
      <c r="L2" s="31"/>
      <c r="M2" s="31"/>
      <c r="N2" s="31"/>
      <c r="O2" s="31"/>
    </row>
    <row r="3" spans="1:15" ht="17.25" x14ac:dyDescent="0.15">
      <c r="A3" s="29"/>
      <c r="B3" s="30" t="s">
        <v>92</v>
      </c>
      <c r="C3" s="31"/>
      <c r="D3" s="31"/>
      <c r="E3" s="31"/>
      <c r="F3" s="31"/>
      <c r="G3" s="31"/>
      <c r="H3" s="31"/>
      <c r="I3" s="31"/>
      <c r="J3" s="30"/>
      <c r="K3" s="30"/>
      <c r="L3" s="30"/>
      <c r="M3" s="30"/>
      <c r="N3" s="31"/>
      <c r="O3" s="31"/>
    </row>
    <row r="4" spans="1:15" ht="18" x14ac:dyDescent="0.15">
      <c r="A4" s="29"/>
      <c r="B4" s="30" t="s">
        <v>77</v>
      </c>
      <c r="C4" s="31"/>
      <c r="D4" s="31"/>
      <c r="E4" s="31"/>
      <c r="F4" s="31"/>
      <c r="G4" s="31"/>
      <c r="H4" s="31"/>
      <c r="I4" s="31"/>
      <c r="J4" s="32"/>
      <c r="K4" s="32"/>
      <c r="L4" s="32" t="s">
        <v>96</v>
      </c>
      <c r="M4" s="32" t="s">
        <v>96</v>
      </c>
      <c r="N4" s="31"/>
      <c r="O4" s="31"/>
    </row>
    <row r="5" spans="1:15" ht="18" x14ac:dyDescent="0.15">
      <c r="A5" s="29"/>
      <c r="B5" s="30" t="s">
        <v>93</v>
      </c>
      <c r="C5" s="31"/>
      <c r="D5" s="31"/>
      <c r="E5" s="31"/>
      <c r="F5" s="31"/>
      <c r="G5" s="31"/>
      <c r="H5" s="31"/>
      <c r="I5" s="31"/>
      <c r="J5" s="32"/>
      <c r="K5" s="32" t="s">
        <v>96</v>
      </c>
      <c r="L5" s="32" t="s">
        <v>96</v>
      </c>
      <c r="M5" s="32"/>
      <c r="N5" s="31"/>
      <c r="O5" s="31"/>
    </row>
    <row r="6" spans="1:15" ht="18" x14ac:dyDescent="0.15">
      <c r="A6" s="29"/>
      <c r="B6" s="30" t="s">
        <v>94</v>
      </c>
      <c r="C6" s="31"/>
      <c r="D6" s="31"/>
      <c r="E6" s="31"/>
      <c r="F6" s="31"/>
      <c r="G6" s="31"/>
      <c r="H6" s="31"/>
      <c r="I6" s="31"/>
      <c r="J6" s="32"/>
      <c r="K6" s="32"/>
      <c r="L6" s="32"/>
      <c r="M6" s="32"/>
      <c r="N6" s="31"/>
      <c r="O6" s="31"/>
    </row>
    <row r="7" spans="1:15" ht="18" x14ac:dyDescent="0.15">
      <c r="A7" s="33"/>
      <c r="B7" s="34" t="s">
        <v>95</v>
      </c>
      <c r="C7" s="35"/>
      <c r="D7" s="35"/>
      <c r="E7" s="35"/>
      <c r="F7" s="35"/>
      <c r="G7" s="35"/>
      <c r="H7" s="35"/>
      <c r="I7" s="35"/>
      <c r="J7" s="36" t="s">
        <v>96</v>
      </c>
      <c r="K7" s="36" t="s">
        <v>96</v>
      </c>
      <c r="L7" s="36"/>
      <c r="M7" s="36"/>
      <c r="N7" s="35"/>
      <c r="O7" s="35"/>
    </row>
    <row r="8" spans="1:15" ht="17.25" x14ac:dyDescent="0.15">
      <c r="A8" s="28" t="s">
        <v>98</v>
      </c>
      <c r="B8" s="10" t="s">
        <v>99</v>
      </c>
      <c r="C8" s="8"/>
      <c r="D8" s="8"/>
      <c r="E8" s="10"/>
      <c r="F8" s="10"/>
      <c r="G8" s="10" t="s">
        <v>96</v>
      </c>
      <c r="H8" s="10" t="s">
        <v>96</v>
      </c>
      <c r="I8" s="10" t="s">
        <v>96</v>
      </c>
      <c r="J8" s="8"/>
      <c r="K8" s="8"/>
      <c r="L8" s="8"/>
      <c r="M8" s="8"/>
      <c r="N8" s="10" t="s">
        <v>96</v>
      </c>
      <c r="O8" s="10"/>
    </row>
    <row r="9" spans="1:15" ht="17.25" x14ac:dyDescent="0.15">
      <c r="A9" s="28"/>
      <c r="B9" s="10" t="s">
        <v>100</v>
      </c>
      <c r="C9" s="10"/>
      <c r="D9" s="10"/>
      <c r="E9" s="10"/>
      <c r="F9" s="10"/>
      <c r="G9" s="10"/>
      <c r="H9" s="10"/>
      <c r="I9" s="10"/>
      <c r="J9" s="8"/>
      <c r="K9" s="8"/>
      <c r="L9" s="10"/>
      <c r="M9" s="8"/>
      <c r="N9" s="10"/>
      <c r="O9" s="10"/>
    </row>
    <row r="10" spans="1:15" ht="17.25" x14ac:dyDescent="0.15">
      <c r="A10" s="28"/>
      <c r="B10" s="10" t="s">
        <v>101</v>
      </c>
      <c r="C10" s="10" t="s">
        <v>96</v>
      </c>
      <c r="D10" s="10" t="s">
        <v>96</v>
      </c>
      <c r="E10" s="10" t="s">
        <v>96</v>
      </c>
      <c r="F10" s="10" t="s">
        <v>96</v>
      </c>
      <c r="G10" s="10" t="s">
        <v>96</v>
      </c>
      <c r="H10" s="10" t="s">
        <v>96</v>
      </c>
      <c r="I10" s="10"/>
      <c r="J10" s="8"/>
      <c r="K10" s="8"/>
      <c r="L10" s="10" t="s">
        <v>96</v>
      </c>
      <c r="M10" s="8"/>
      <c r="N10" s="10"/>
      <c r="O10" s="10" t="s">
        <v>96</v>
      </c>
    </row>
    <row r="11" spans="1:15" ht="17.25" x14ac:dyDescent="0.15">
      <c r="A11" s="28"/>
      <c r="B11" s="10" t="s">
        <v>102</v>
      </c>
      <c r="C11" s="10"/>
      <c r="D11" s="10"/>
      <c r="E11" s="10"/>
      <c r="F11" s="10"/>
      <c r="G11" s="10"/>
      <c r="H11" s="10"/>
      <c r="I11" s="10"/>
      <c r="J11" s="8"/>
      <c r="K11" s="10"/>
      <c r="L11" s="10"/>
      <c r="M11" s="8"/>
      <c r="N11" s="10"/>
      <c r="O11" s="10"/>
    </row>
    <row r="12" spans="1:15" ht="17.25" x14ac:dyDescent="0.15">
      <c r="A12" s="28"/>
      <c r="B12" s="10" t="s">
        <v>103</v>
      </c>
      <c r="C12" s="10"/>
      <c r="D12" s="10"/>
      <c r="E12" s="10"/>
      <c r="F12" s="10"/>
      <c r="G12" s="10"/>
      <c r="H12" s="10"/>
      <c r="I12" s="10"/>
      <c r="J12" s="8"/>
      <c r="K12" s="10"/>
      <c r="L12" s="10"/>
      <c r="M12" s="8"/>
      <c r="N12" s="10"/>
      <c r="O12" s="10"/>
    </row>
    <row r="13" spans="1:15" ht="17.25" x14ac:dyDescent="0.15">
      <c r="A13" s="28"/>
      <c r="B13" s="10" t="s">
        <v>104</v>
      </c>
      <c r="C13" s="10"/>
      <c r="D13" s="10"/>
      <c r="E13" s="10"/>
      <c r="F13" s="10"/>
      <c r="G13" s="10"/>
      <c r="H13" s="10"/>
      <c r="I13" s="10"/>
      <c r="J13" s="8"/>
      <c r="K13" s="10"/>
      <c r="L13" s="10"/>
      <c r="M13" s="8"/>
      <c r="N13" s="10"/>
      <c r="O13" s="10"/>
    </row>
    <row r="14" spans="1:15" ht="17.25" x14ac:dyDescent="0.15">
      <c r="A14" s="28"/>
      <c r="B14" s="10" t="s">
        <v>105</v>
      </c>
      <c r="C14" s="10"/>
      <c r="D14" s="10"/>
      <c r="E14" s="10"/>
      <c r="F14" s="10"/>
      <c r="G14" s="10"/>
      <c r="H14" s="10"/>
      <c r="I14" s="10"/>
      <c r="J14" s="8"/>
      <c r="K14" s="10"/>
      <c r="L14" s="10"/>
      <c r="M14" s="8"/>
      <c r="N14" s="10"/>
      <c r="O14" s="10"/>
    </row>
  </sheetData>
  <mergeCells count="2">
    <mergeCell ref="A2:A7"/>
    <mergeCell ref="A8:A14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4"/>
  <sheetViews>
    <sheetView tabSelected="1" topLeftCell="G1" zoomScale="85" zoomScaleNormal="85" workbookViewId="0">
      <selection activeCell="Q49" sqref="Q49"/>
    </sheetView>
  </sheetViews>
  <sheetFormatPr defaultColWidth="9" defaultRowHeight="13.5" x14ac:dyDescent="0.15"/>
  <cols>
    <col min="1" max="1" width="18.375" style="1" customWidth="1"/>
    <col min="2" max="2" width="19.25" style="1" customWidth="1"/>
    <col min="3" max="3" width="13" style="1" customWidth="1"/>
    <col min="4" max="4" width="12.125" style="1" customWidth="1"/>
    <col min="5" max="5" width="13.625" style="1" customWidth="1"/>
    <col min="6" max="7" width="11.25" style="1" customWidth="1"/>
    <col min="8" max="8" width="11.375" style="1" customWidth="1"/>
    <col min="9" max="9" width="11.25" style="1" customWidth="1"/>
    <col min="10" max="10" width="10.5" style="1" customWidth="1"/>
    <col min="11" max="11" width="13.125" style="1" customWidth="1"/>
    <col min="12" max="12" width="12.375" style="1" customWidth="1"/>
    <col min="13" max="14" width="11.625" style="1" customWidth="1"/>
    <col min="15" max="15" width="9" style="1"/>
    <col min="16" max="17" width="11.625" style="1"/>
    <col min="18" max="18" width="10.375" style="1"/>
    <col min="19" max="19" width="14.125" style="1"/>
    <col min="20" max="16384" width="9" style="1"/>
  </cols>
  <sheetData>
    <row r="1" spans="1:20" x14ac:dyDescent="0.15">
      <c r="A1" s="2" t="s">
        <v>124</v>
      </c>
      <c r="B1" s="2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135</v>
      </c>
      <c r="M1" s="4" t="s">
        <v>136</v>
      </c>
      <c r="N1" s="4" t="s">
        <v>137</v>
      </c>
    </row>
    <row r="2" spans="1:20" x14ac:dyDescent="0.15">
      <c r="A2" s="3" t="s">
        <v>138</v>
      </c>
      <c r="B2" s="2" t="s">
        <v>139</v>
      </c>
      <c r="C2" s="3">
        <v>9.8204612731933594E-4</v>
      </c>
      <c r="D2" s="3">
        <v>9.7012519836425705E-4</v>
      </c>
      <c r="E2" s="3">
        <v>1.9526481628417899E-3</v>
      </c>
      <c r="F2" s="3">
        <v>9.7608566284179601E-4</v>
      </c>
      <c r="G2" s="3">
        <v>9.7680091857910091E-4</v>
      </c>
      <c r="H2" s="3">
        <v>1.5764236450195299E-3</v>
      </c>
      <c r="I2" s="3">
        <v>9.76324081420898E-4</v>
      </c>
      <c r="J2" s="3">
        <v>9.8180770874023394E-4</v>
      </c>
      <c r="K2" s="3">
        <v>1.5604496002197201E-3</v>
      </c>
      <c r="L2" s="3">
        <v>9.7846984863281207E-4</v>
      </c>
      <c r="M2" s="5">
        <f>AVERAGE(表1[[#This Row],[第1次测试]:[第10次测试]])</f>
        <v>1.1931180953979475E-3</v>
      </c>
      <c r="N2" s="5">
        <f>MAX(表1[[#This Row],[第1次测试]:[平均值]])</f>
        <v>1.9526481628417899E-3</v>
      </c>
    </row>
    <row r="3" spans="1:20" ht="26.25" x14ac:dyDescent="0.15">
      <c r="A3" s="3" t="s">
        <v>140</v>
      </c>
      <c r="B3" s="2" t="s">
        <v>141</v>
      </c>
      <c r="C3" s="3">
        <v>9.7489356994628895E-4</v>
      </c>
      <c r="D3" s="3">
        <v>9.7608566284179601E-4</v>
      </c>
      <c r="E3" s="3">
        <v>9.8252296447753906E-4</v>
      </c>
      <c r="F3" s="3">
        <v>9.76324081420898E-4</v>
      </c>
      <c r="G3" s="3">
        <v>9.7489356994628895E-4</v>
      </c>
      <c r="H3" s="3">
        <v>9.7680091857910091E-4</v>
      </c>
      <c r="I3" s="3">
        <v>9.7537040710449197E-4</v>
      </c>
      <c r="J3" s="3">
        <v>9.7537040710449197E-4</v>
      </c>
      <c r="K3" s="3">
        <v>9.765625E-4</v>
      </c>
      <c r="L3" s="3">
        <v>9.7608566284179601E-4</v>
      </c>
      <c r="M3" s="5">
        <f>AVERAGE(表1[[#This Row],[第1次测试]:[第10次测试]])</f>
        <v>9.7649097442626916E-4</v>
      </c>
      <c r="N3" s="5">
        <f>MAX(表1[[#This Row],[第1次测试]:[平均值]])</f>
        <v>9.8252296447753906E-4</v>
      </c>
    </row>
    <row r="4" spans="1:20" x14ac:dyDescent="0.15">
      <c r="A4" s="3" t="s">
        <v>142</v>
      </c>
      <c r="B4" s="2" t="s">
        <v>143</v>
      </c>
      <c r="C4" s="3">
        <v>9.1552734375E-4</v>
      </c>
      <c r="D4" s="3">
        <v>9.2768669128417904E-4</v>
      </c>
      <c r="E4" s="3">
        <v>9.76324081420898E-4</v>
      </c>
      <c r="F4" s="3">
        <v>9.7870826721191406E-4</v>
      </c>
      <c r="G4" s="3">
        <v>9.7465515136718696E-4</v>
      </c>
      <c r="H4" s="3">
        <v>9.765625E-4</v>
      </c>
      <c r="I4" s="3">
        <v>9.7751617431640603E-4</v>
      </c>
      <c r="J4" s="3">
        <v>9.765625E-4</v>
      </c>
      <c r="K4" s="3">
        <v>9.6583366394042904E-4</v>
      </c>
      <c r="L4" s="3">
        <v>9.7346305847167904E-4</v>
      </c>
      <c r="M4" s="5">
        <f>AVERAGE(表1[[#This Row],[第1次测试]:[第10次测试]])</f>
        <v>9.6428394317626931E-4</v>
      </c>
      <c r="N4" s="5">
        <f>MAX(表1[[#This Row],[第1次测试]:[平均值]])</f>
        <v>9.7870826721191406E-4</v>
      </c>
    </row>
    <row r="5" spans="1:20" x14ac:dyDescent="0.15">
      <c r="A5" s="3" t="s">
        <v>144</v>
      </c>
      <c r="B5" s="2" t="s">
        <v>145</v>
      </c>
      <c r="C5" s="3">
        <v>9.7751617431640603E-4</v>
      </c>
      <c r="D5" s="3">
        <v>9.7846984863281207E-4</v>
      </c>
      <c r="E5" s="3">
        <v>9.7608566284179601E-4</v>
      </c>
      <c r="F5" s="3">
        <v>9.7489356994628895E-4</v>
      </c>
      <c r="G5" s="3">
        <v>9.8156929016113195E-4</v>
      </c>
      <c r="H5" s="3">
        <v>9.832382202148431E-4</v>
      </c>
      <c r="I5" s="3">
        <v>9.7799301147460894E-4</v>
      </c>
      <c r="J5" s="3">
        <v>9.7465515136718696E-4</v>
      </c>
      <c r="K5" s="3">
        <v>9.7751617431640603E-4</v>
      </c>
      <c r="L5" s="3">
        <v>9.7584724426269499E-4</v>
      </c>
      <c r="M5" s="5">
        <f>AVERAGE(表1[[#This Row],[第1次测试]:[第10次测试]])</f>
        <v>9.7777843475341762E-4</v>
      </c>
      <c r="N5" s="5">
        <f>MAX(表1[[#This Row],[第1次测试]:[平均值]])</f>
        <v>9.832382202148431E-4</v>
      </c>
    </row>
    <row r="7" spans="1:20" ht="34.5" x14ac:dyDescent="0.15">
      <c r="O7" s="6" t="s">
        <v>146</v>
      </c>
      <c r="P7" s="6" t="s">
        <v>147</v>
      </c>
      <c r="Q7" s="6" t="s">
        <v>148</v>
      </c>
      <c r="R7" s="6" t="s">
        <v>149</v>
      </c>
      <c r="S7" s="6" t="s">
        <v>150</v>
      </c>
      <c r="T7" s="24" t="s">
        <v>163</v>
      </c>
    </row>
    <row r="8" spans="1:20" ht="16.5" x14ac:dyDescent="0.15">
      <c r="O8" s="7">
        <v>10</v>
      </c>
      <c r="P8" s="7">
        <v>1.5089999999999999E-3</v>
      </c>
      <c r="Q8" s="7">
        <v>9.9679999999999994E-4</v>
      </c>
      <c r="R8" s="7">
        <v>1.505E-3</v>
      </c>
      <c r="S8" s="7">
        <f t="shared" ref="S8:S12" si="0">AVERAGE(P8:R8)</f>
        <v>1.3369333333333334E-3</v>
      </c>
    </row>
    <row r="9" spans="1:20" ht="16.5" x14ac:dyDescent="0.15">
      <c r="O9" s="7">
        <v>50</v>
      </c>
      <c r="P9" s="7">
        <v>2.8174000000000001E-2</v>
      </c>
      <c r="Q9" s="7">
        <v>2.9522E-2</v>
      </c>
      <c r="R9" s="7">
        <v>2.9523000000000001E-2</v>
      </c>
      <c r="S9" s="7">
        <f t="shared" si="0"/>
        <v>2.9072999999999998E-2</v>
      </c>
    </row>
    <row r="10" spans="1:20" ht="16.5" x14ac:dyDescent="0.15">
      <c r="O10" s="7">
        <v>100</v>
      </c>
      <c r="P10" s="7">
        <v>0.119282</v>
      </c>
      <c r="Q10" s="7">
        <v>0.116202</v>
      </c>
      <c r="R10" s="7">
        <v>0.118802</v>
      </c>
      <c r="S10" s="7">
        <f t="shared" si="0"/>
        <v>0.11809533333333333</v>
      </c>
    </row>
    <row r="11" spans="1:20" ht="16.5" x14ac:dyDescent="0.15">
      <c r="O11" s="7">
        <v>500</v>
      </c>
      <c r="P11" s="7">
        <v>3.0034100000000001</v>
      </c>
      <c r="Q11" s="7">
        <v>2.997395</v>
      </c>
      <c r="R11" s="7">
        <v>2.9735999999999998</v>
      </c>
      <c r="S11" s="7">
        <f t="shared" si="0"/>
        <v>2.9914683333333332</v>
      </c>
    </row>
    <row r="12" spans="1:20" ht="16.5" x14ac:dyDescent="0.15">
      <c r="O12" s="7">
        <v>1000</v>
      </c>
      <c r="P12" s="7">
        <v>11.895535000000001</v>
      </c>
      <c r="Q12" s="7">
        <v>11.913448000000001</v>
      </c>
      <c r="R12" s="7">
        <v>12.05171</v>
      </c>
      <c r="S12" s="7">
        <f t="shared" si="0"/>
        <v>11.953564333333333</v>
      </c>
    </row>
    <row r="19" spans="15:22" ht="69" x14ac:dyDescent="0.15">
      <c r="O19" s="6" t="s">
        <v>146</v>
      </c>
      <c r="P19" s="6" t="s">
        <v>150</v>
      </c>
    </row>
    <row r="20" spans="15:22" ht="16.5" x14ac:dyDescent="0.15">
      <c r="O20" s="7">
        <v>10</v>
      </c>
      <c r="P20" s="7">
        <v>4.1576666666666663E-3</v>
      </c>
    </row>
    <row r="21" spans="15:22" ht="16.5" x14ac:dyDescent="0.15">
      <c r="O21" s="7">
        <v>50</v>
      </c>
      <c r="P21" s="7">
        <v>2.9072999999999998E-2</v>
      </c>
    </row>
    <row r="22" spans="15:22" ht="16.5" x14ac:dyDescent="0.15">
      <c r="O22" s="7">
        <v>100</v>
      </c>
      <c r="P22" s="7">
        <v>0.11809533333333333</v>
      </c>
    </row>
    <row r="23" spans="15:22" ht="16.5" x14ac:dyDescent="0.15">
      <c r="O23" s="7">
        <v>500</v>
      </c>
      <c r="P23" s="7">
        <v>2.9914683333333332</v>
      </c>
      <c r="T23" s="1">
        <f>SUM(T12:T22)</f>
        <v>0</v>
      </c>
      <c r="U23" s="1">
        <f>SUM(U12:U22)</f>
        <v>0</v>
      </c>
      <c r="V23" s="1">
        <f>SUM(T23:U23)</f>
        <v>0</v>
      </c>
    </row>
    <row r="24" spans="15:22" ht="16.5" x14ac:dyDescent="0.15">
      <c r="O24" s="7">
        <v>1000</v>
      </c>
      <c r="P24" s="7">
        <v>11.953564333333333</v>
      </c>
    </row>
  </sheetData>
  <phoneticPr fontId="16" type="noConversion"/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规则</vt:lpstr>
      <vt:lpstr>分开</vt:lpstr>
      <vt:lpstr>综合</vt:lpstr>
      <vt:lpstr>转置</vt:lpstr>
      <vt:lpstr>修正</vt:lpstr>
      <vt:lpstr>静态检测性能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</dc:creator>
  <cp:lastModifiedBy>Zhang Yaodong</cp:lastModifiedBy>
  <dcterms:created xsi:type="dcterms:W3CDTF">2023-05-12T11:15:00Z</dcterms:created>
  <dcterms:modified xsi:type="dcterms:W3CDTF">2025-04-20T09:13:42Z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A7E3FFF68EA4453896A9FC356FD16B4A_12</vt:lpwstr>
  </property>
</Properties>
</file>